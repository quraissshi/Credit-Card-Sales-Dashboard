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https://d.docs.live.net/58a01eff106b842d/Desktop/"/>
    </mc:Choice>
  </mc:AlternateContent>
  <xr:revisionPtr revIDLastSave="16" documentId="14_{FA8914B9-C4B3-45B0-923E-C244668534A4}" xr6:coauthVersionLast="47" xr6:coauthVersionMax="47" xr10:uidLastSave="{00D6EEC7-B888-4D54-B020-9616F079B6A1}"/>
  <bookViews>
    <workbookView xWindow="-108" yWindow="-108" windowWidth="23256" windowHeight="12456" xr2:uid="{00000000-000D-0000-FFFF-FFFF00000000}"/>
  </bookViews>
  <sheets>
    <sheet name="Dashboard" sheetId="2" r:id="rId1"/>
    <sheet name="Sales Data" sheetId="1" r:id="rId2"/>
  </sheets>
  <definedNames>
    <definedName name="_xlnm._FilterDatabase" localSheetId="1" hidden="1">'Sales Data'!$A$1:$L$251</definedName>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53" i="1" l="1"/>
  <c r="L57" i="1"/>
  <c r="L85" i="1"/>
  <c r="L89" i="1"/>
  <c r="L101" i="1"/>
  <c r="L105" i="1"/>
  <c r="L117" i="1"/>
  <c r="L121" i="1"/>
  <c r="L165" i="1"/>
  <c r="L169" i="1"/>
  <c r="L181" i="1"/>
  <c r="L185" i="1"/>
  <c r="L213" i="1"/>
  <c r="L217" i="1"/>
  <c r="L229" i="1"/>
  <c r="L233" i="1"/>
  <c r="L245" i="1"/>
  <c r="L249" i="1"/>
  <c r="K3" i="1"/>
  <c r="L3" i="1" s="1"/>
  <c r="K4" i="1"/>
  <c r="L4" i="1" s="1"/>
  <c r="K5" i="1"/>
  <c r="L5" i="1" s="1"/>
  <c r="K6" i="1"/>
  <c r="L6" i="1" s="1"/>
  <c r="K7" i="1"/>
  <c r="L7" i="1" s="1"/>
  <c r="K8" i="1"/>
  <c r="L8" i="1" s="1"/>
  <c r="K9" i="1"/>
  <c r="L9" i="1" s="1"/>
  <c r="K10" i="1"/>
  <c r="L10" i="1" s="1"/>
  <c r="K11" i="1"/>
  <c r="L11" i="1" s="1"/>
  <c r="K12" i="1"/>
  <c r="L12" i="1" s="1"/>
  <c r="K13" i="1"/>
  <c r="L13" i="1" s="1"/>
  <c r="K14" i="1"/>
  <c r="L14" i="1" s="1"/>
  <c r="K15" i="1"/>
  <c r="L15" i="1" s="1"/>
  <c r="K16" i="1"/>
  <c r="L16" i="1" s="1"/>
  <c r="K17" i="1"/>
  <c r="L17" i="1" s="1"/>
  <c r="K18" i="1"/>
  <c r="L18" i="1" s="1"/>
  <c r="K19" i="1"/>
  <c r="L19" i="1" s="1"/>
  <c r="K20" i="1"/>
  <c r="L20" i="1" s="1"/>
  <c r="K21" i="1"/>
  <c r="L21" i="1" s="1"/>
  <c r="K22" i="1"/>
  <c r="L22" i="1" s="1"/>
  <c r="K23" i="1"/>
  <c r="L23" i="1" s="1"/>
  <c r="K24" i="1"/>
  <c r="L24" i="1" s="1"/>
  <c r="K25" i="1"/>
  <c r="L25" i="1" s="1"/>
  <c r="K26" i="1"/>
  <c r="L26" i="1" s="1"/>
  <c r="K27" i="1"/>
  <c r="L27" i="1" s="1"/>
  <c r="K28" i="1"/>
  <c r="L28" i="1" s="1"/>
  <c r="K29" i="1"/>
  <c r="L29" i="1" s="1"/>
  <c r="K30" i="1"/>
  <c r="L30" i="1" s="1"/>
  <c r="K31" i="1"/>
  <c r="L31" i="1" s="1"/>
  <c r="K32" i="1"/>
  <c r="L32" i="1" s="1"/>
  <c r="K33" i="1"/>
  <c r="L33" i="1" s="1"/>
  <c r="K34" i="1"/>
  <c r="L34" i="1" s="1"/>
  <c r="K35" i="1"/>
  <c r="L35" i="1" s="1"/>
  <c r="K36" i="1"/>
  <c r="L36" i="1" s="1"/>
  <c r="K37" i="1"/>
  <c r="L37" i="1" s="1"/>
  <c r="K38" i="1"/>
  <c r="L38" i="1" s="1"/>
  <c r="K39" i="1"/>
  <c r="L39" i="1" s="1"/>
  <c r="K40" i="1"/>
  <c r="L40" i="1" s="1"/>
  <c r="K41" i="1"/>
  <c r="L41" i="1" s="1"/>
  <c r="K42" i="1"/>
  <c r="L42" i="1" s="1"/>
  <c r="K43" i="1"/>
  <c r="L43" i="1" s="1"/>
  <c r="K44" i="1"/>
  <c r="L44" i="1" s="1"/>
  <c r="K45" i="1"/>
  <c r="L45" i="1" s="1"/>
  <c r="K46" i="1"/>
  <c r="L46" i="1" s="1"/>
  <c r="K47" i="1"/>
  <c r="L47" i="1" s="1"/>
  <c r="K48" i="1"/>
  <c r="L48" i="1" s="1"/>
  <c r="K49" i="1"/>
  <c r="L49" i="1" s="1"/>
  <c r="K50" i="1"/>
  <c r="L50" i="1" s="1"/>
  <c r="K51" i="1"/>
  <c r="L51" i="1" s="1"/>
  <c r="K52" i="1"/>
  <c r="L52" i="1" s="1"/>
  <c r="K53" i="1"/>
  <c r="K54" i="1"/>
  <c r="L54" i="1" s="1"/>
  <c r="K55" i="1"/>
  <c r="L55" i="1" s="1"/>
  <c r="K56" i="1"/>
  <c r="L56" i="1" s="1"/>
  <c r="K57" i="1"/>
  <c r="K58" i="1"/>
  <c r="L58" i="1" s="1"/>
  <c r="K59" i="1"/>
  <c r="L59" i="1" s="1"/>
  <c r="K60" i="1"/>
  <c r="L60" i="1" s="1"/>
  <c r="K61" i="1"/>
  <c r="L61" i="1" s="1"/>
  <c r="K62" i="1"/>
  <c r="L62" i="1" s="1"/>
  <c r="K63" i="1"/>
  <c r="L63" i="1" s="1"/>
  <c r="K64" i="1"/>
  <c r="L64" i="1" s="1"/>
  <c r="K65" i="1"/>
  <c r="L65" i="1" s="1"/>
  <c r="K66" i="1"/>
  <c r="L66" i="1" s="1"/>
  <c r="K67" i="1"/>
  <c r="L67" i="1" s="1"/>
  <c r="K68" i="1"/>
  <c r="L68" i="1" s="1"/>
  <c r="K69" i="1"/>
  <c r="L69" i="1" s="1"/>
  <c r="K70" i="1"/>
  <c r="L70" i="1" s="1"/>
  <c r="K71" i="1"/>
  <c r="L71" i="1" s="1"/>
  <c r="K72" i="1"/>
  <c r="L72" i="1" s="1"/>
  <c r="K73" i="1"/>
  <c r="L73" i="1" s="1"/>
  <c r="K74" i="1"/>
  <c r="L74" i="1" s="1"/>
  <c r="K75" i="1"/>
  <c r="L75" i="1" s="1"/>
  <c r="K76" i="1"/>
  <c r="L76" i="1" s="1"/>
  <c r="K77" i="1"/>
  <c r="L77" i="1" s="1"/>
  <c r="K78" i="1"/>
  <c r="L78" i="1" s="1"/>
  <c r="K79" i="1"/>
  <c r="L79" i="1" s="1"/>
  <c r="K80" i="1"/>
  <c r="L80" i="1" s="1"/>
  <c r="K81" i="1"/>
  <c r="L81" i="1" s="1"/>
  <c r="K82" i="1"/>
  <c r="L82" i="1" s="1"/>
  <c r="K83" i="1"/>
  <c r="L83" i="1" s="1"/>
  <c r="K84" i="1"/>
  <c r="L84" i="1" s="1"/>
  <c r="K85" i="1"/>
  <c r="K86" i="1"/>
  <c r="L86" i="1" s="1"/>
  <c r="K87" i="1"/>
  <c r="L87" i="1" s="1"/>
  <c r="K88" i="1"/>
  <c r="L88" i="1" s="1"/>
  <c r="K89" i="1"/>
  <c r="K90" i="1"/>
  <c r="L90" i="1" s="1"/>
  <c r="K91" i="1"/>
  <c r="L91" i="1" s="1"/>
  <c r="K92" i="1"/>
  <c r="L92" i="1" s="1"/>
  <c r="K93" i="1"/>
  <c r="L93" i="1" s="1"/>
  <c r="K94" i="1"/>
  <c r="L94" i="1" s="1"/>
  <c r="K95" i="1"/>
  <c r="L95" i="1" s="1"/>
  <c r="K96" i="1"/>
  <c r="L96" i="1" s="1"/>
  <c r="K97" i="1"/>
  <c r="L97" i="1" s="1"/>
  <c r="K98" i="1"/>
  <c r="L98" i="1" s="1"/>
  <c r="K99" i="1"/>
  <c r="L99" i="1" s="1"/>
  <c r="K100" i="1"/>
  <c r="L100" i="1" s="1"/>
  <c r="K101" i="1"/>
  <c r="K102" i="1"/>
  <c r="L102" i="1" s="1"/>
  <c r="K103" i="1"/>
  <c r="L103" i="1" s="1"/>
  <c r="K104" i="1"/>
  <c r="L104" i="1" s="1"/>
  <c r="K105" i="1"/>
  <c r="K106" i="1"/>
  <c r="L106" i="1" s="1"/>
  <c r="K107" i="1"/>
  <c r="L107" i="1" s="1"/>
  <c r="K108" i="1"/>
  <c r="L108" i="1" s="1"/>
  <c r="K109" i="1"/>
  <c r="L109" i="1" s="1"/>
  <c r="K110" i="1"/>
  <c r="L110" i="1" s="1"/>
  <c r="K111" i="1"/>
  <c r="L111" i="1" s="1"/>
  <c r="K112" i="1"/>
  <c r="L112" i="1" s="1"/>
  <c r="K113" i="1"/>
  <c r="L113" i="1" s="1"/>
  <c r="K114" i="1"/>
  <c r="L114" i="1" s="1"/>
  <c r="K115" i="1"/>
  <c r="L115" i="1" s="1"/>
  <c r="K116" i="1"/>
  <c r="L116" i="1" s="1"/>
  <c r="K117" i="1"/>
  <c r="K118" i="1"/>
  <c r="L118" i="1" s="1"/>
  <c r="K119" i="1"/>
  <c r="L119" i="1" s="1"/>
  <c r="K120" i="1"/>
  <c r="L120" i="1" s="1"/>
  <c r="K121" i="1"/>
  <c r="K122" i="1"/>
  <c r="L122" i="1" s="1"/>
  <c r="K123" i="1"/>
  <c r="L123" i="1" s="1"/>
  <c r="K124" i="1"/>
  <c r="L124" i="1" s="1"/>
  <c r="K125" i="1"/>
  <c r="L125" i="1" s="1"/>
  <c r="K126" i="1"/>
  <c r="L126" i="1" s="1"/>
  <c r="K127" i="1"/>
  <c r="L127" i="1" s="1"/>
  <c r="K128" i="1"/>
  <c r="L128" i="1" s="1"/>
  <c r="K129" i="1"/>
  <c r="L129" i="1" s="1"/>
  <c r="K130" i="1"/>
  <c r="L130" i="1" s="1"/>
  <c r="K131" i="1"/>
  <c r="L131" i="1" s="1"/>
  <c r="K132" i="1"/>
  <c r="L132" i="1" s="1"/>
  <c r="K133" i="1"/>
  <c r="L133" i="1" s="1"/>
  <c r="K134" i="1"/>
  <c r="L134" i="1" s="1"/>
  <c r="K135" i="1"/>
  <c r="L135" i="1" s="1"/>
  <c r="K136" i="1"/>
  <c r="L136" i="1" s="1"/>
  <c r="K137" i="1"/>
  <c r="L137" i="1" s="1"/>
  <c r="K138" i="1"/>
  <c r="L138" i="1" s="1"/>
  <c r="K139" i="1"/>
  <c r="L139" i="1" s="1"/>
  <c r="K140" i="1"/>
  <c r="L140" i="1" s="1"/>
  <c r="K141" i="1"/>
  <c r="L141" i="1" s="1"/>
  <c r="K142" i="1"/>
  <c r="L142" i="1" s="1"/>
  <c r="K143" i="1"/>
  <c r="L143" i="1" s="1"/>
  <c r="K144" i="1"/>
  <c r="L144" i="1" s="1"/>
  <c r="K145" i="1"/>
  <c r="L145" i="1" s="1"/>
  <c r="K146" i="1"/>
  <c r="L146" i="1" s="1"/>
  <c r="K147" i="1"/>
  <c r="L147" i="1" s="1"/>
  <c r="K148" i="1"/>
  <c r="L148" i="1" s="1"/>
  <c r="K149" i="1"/>
  <c r="L149" i="1" s="1"/>
  <c r="K150" i="1"/>
  <c r="L150" i="1" s="1"/>
  <c r="K151" i="1"/>
  <c r="L151" i="1" s="1"/>
  <c r="K152" i="1"/>
  <c r="L152" i="1" s="1"/>
  <c r="K153" i="1"/>
  <c r="L153" i="1" s="1"/>
  <c r="K154" i="1"/>
  <c r="L154" i="1" s="1"/>
  <c r="K155" i="1"/>
  <c r="L155" i="1" s="1"/>
  <c r="K156" i="1"/>
  <c r="L156" i="1" s="1"/>
  <c r="K157" i="1"/>
  <c r="L157" i="1" s="1"/>
  <c r="K158" i="1"/>
  <c r="L158" i="1" s="1"/>
  <c r="K159" i="1"/>
  <c r="L159" i="1" s="1"/>
  <c r="K160" i="1"/>
  <c r="L160" i="1" s="1"/>
  <c r="K161" i="1"/>
  <c r="L161" i="1" s="1"/>
  <c r="K162" i="1"/>
  <c r="L162" i="1" s="1"/>
  <c r="K163" i="1"/>
  <c r="L163" i="1" s="1"/>
  <c r="K164" i="1"/>
  <c r="L164" i="1" s="1"/>
  <c r="K165" i="1"/>
  <c r="K166" i="1"/>
  <c r="L166" i="1" s="1"/>
  <c r="K167" i="1"/>
  <c r="L167" i="1" s="1"/>
  <c r="K168" i="1"/>
  <c r="L168" i="1" s="1"/>
  <c r="K169" i="1"/>
  <c r="K170" i="1"/>
  <c r="L170" i="1" s="1"/>
  <c r="K171" i="1"/>
  <c r="L171" i="1" s="1"/>
  <c r="K172" i="1"/>
  <c r="L172" i="1" s="1"/>
  <c r="K173" i="1"/>
  <c r="L173" i="1" s="1"/>
  <c r="K174" i="1"/>
  <c r="L174" i="1" s="1"/>
  <c r="K175" i="1"/>
  <c r="L175" i="1" s="1"/>
  <c r="K176" i="1"/>
  <c r="L176" i="1" s="1"/>
  <c r="K177" i="1"/>
  <c r="L177" i="1" s="1"/>
  <c r="K178" i="1"/>
  <c r="L178" i="1" s="1"/>
  <c r="K179" i="1"/>
  <c r="L179" i="1" s="1"/>
  <c r="K180" i="1"/>
  <c r="L180" i="1" s="1"/>
  <c r="K181" i="1"/>
  <c r="K182" i="1"/>
  <c r="L182" i="1" s="1"/>
  <c r="K183" i="1"/>
  <c r="L183" i="1" s="1"/>
  <c r="K184" i="1"/>
  <c r="L184" i="1" s="1"/>
  <c r="K185" i="1"/>
  <c r="K186" i="1"/>
  <c r="L186" i="1" s="1"/>
  <c r="K187" i="1"/>
  <c r="L187" i="1" s="1"/>
  <c r="K188" i="1"/>
  <c r="L188" i="1" s="1"/>
  <c r="K189" i="1"/>
  <c r="L189" i="1" s="1"/>
  <c r="K190" i="1"/>
  <c r="L190" i="1" s="1"/>
  <c r="K191" i="1"/>
  <c r="L191" i="1" s="1"/>
  <c r="K192" i="1"/>
  <c r="L192" i="1" s="1"/>
  <c r="K193" i="1"/>
  <c r="L193" i="1" s="1"/>
  <c r="K194" i="1"/>
  <c r="L194" i="1" s="1"/>
  <c r="K195" i="1"/>
  <c r="L195" i="1" s="1"/>
  <c r="K196" i="1"/>
  <c r="L196" i="1" s="1"/>
  <c r="K197" i="1"/>
  <c r="L197" i="1" s="1"/>
  <c r="K198" i="1"/>
  <c r="L198" i="1" s="1"/>
  <c r="K199" i="1"/>
  <c r="L199" i="1" s="1"/>
  <c r="K200" i="1"/>
  <c r="L200" i="1" s="1"/>
  <c r="K201" i="1"/>
  <c r="L201" i="1" s="1"/>
  <c r="K202" i="1"/>
  <c r="L202" i="1" s="1"/>
  <c r="K203" i="1"/>
  <c r="L203" i="1" s="1"/>
  <c r="K204" i="1"/>
  <c r="L204" i="1" s="1"/>
  <c r="K205" i="1"/>
  <c r="L205" i="1" s="1"/>
  <c r="K206" i="1"/>
  <c r="L206" i="1" s="1"/>
  <c r="K207" i="1"/>
  <c r="L207" i="1" s="1"/>
  <c r="K208" i="1"/>
  <c r="L208" i="1" s="1"/>
  <c r="K209" i="1"/>
  <c r="L209" i="1" s="1"/>
  <c r="K210" i="1"/>
  <c r="L210" i="1" s="1"/>
  <c r="K211" i="1"/>
  <c r="L211" i="1" s="1"/>
  <c r="K212" i="1"/>
  <c r="L212" i="1" s="1"/>
  <c r="K213" i="1"/>
  <c r="K214" i="1"/>
  <c r="L214" i="1" s="1"/>
  <c r="K215" i="1"/>
  <c r="L215" i="1" s="1"/>
  <c r="K216" i="1"/>
  <c r="L216" i="1" s="1"/>
  <c r="K217" i="1"/>
  <c r="K218" i="1"/>
  <c r="L218" i="1" s="1"/>
  <c r="K219" i="1"/>
  <c r="L219" i="1" s="1"/>
  <c r="K220" i="1"/>
  <c r="L220" i="1" s="1"/>
  <c r="K221" i="1"/>
  <c r="L221" i="1" s="1"/>
  <c r="K222" i="1"/>
  <c r="L222" i="1" s="1"/>
  <c r="K223" i="1"/>
  <c r="L223" i="1" s="1"/>
  <c r="K224" i="1"/>
  <c r="L224" i="1" s="1"/>
  <c r="K225" i="1"/>
  <c r="L225" i="1" s="1"/>
  <c r="K226" i="1"/>
  <c r="L226" i="1" s="1"/>
  <c r="K227" i="1"/>
  <c r="L227" i="1" s="1"/>
  <c r="K228" i="1"/>
  <c r="L228" i="1" s="1"/>
  <c r="K229" i="1"/>
  <c r="K230" i="1"/>
  <c r="L230" i="1" s="1"/>
  <c r="K231" i="1"/>
  <c r="L231" i="1" s="1"/>
  <c r="K232" i="1"/>
  <c r="L232" i="1" s="1"/>
  <c r="K233" i="1"/>
  <c r="K234" i="1"/>
  <c r="L234" i="1" s="1"/>
  <c r="K235" i="1"/>
  <c r="L235" i="1" s="1"/>
  <c r="K236" i="1"/>
  <c r="L236" i="1" s="1"/>
  <c r="K237" i="1"/>
  <c r="L237" i="1" s="1"/>
  <c r="K238" i="1"/>
  <c r="L238" i="1" s="1"/>
  <c r="K239" i="1"/>
  <c r="L239" i="1" s="1"/>
  <c r="K240" i="1"/>
  <c r="L240" i="1" s="1"/>
  <c r="K241" i="1"/>
  <c r="L241" i="1" s="1"/>
  <c r="K242" i="1"/>
  <c r="L242" i="1" s="1"/>
  <c r="K243" i="1"/>
  <c r="L243" i="1" s="1"/>
  <c r="K244" i="1"/>
  <c r="L244" i="1" s="1"/>
  <c r="K245" i="1"/>
  <c r="K246" i="1"/>
  <c r="L246" i="1" s="1"/>
  <c r="K247" i="1"/>
  <c r="L247" i="1" s="1"/>
  <c r="K248" i="1"/>
  <c r="L248" i="1" s="1"/>
  <c r="K249" i="1"/>
  <c r="K250" i="1"/>
  <c r="L250" i="1" s="1"/>
  <c r="K251" i="1"/>
  <c r="L251" i="1" s="1"/>
  <c r="K2" i="1"/>
  <c r="L2" i="1" s="1"/>
</calcChain>
</file>

<file path=xl/sharedStrings.xml><?xml version="1.0" encoding="utf-8"?>
<sst xmlns="http://schemas.openxmlformats.org/spreadsheetml/2006/main" count="790" uniqueCount="521">
  <si>
    <t>Sales Executive</t>
  </si>
  <si>
    <t>Region</t>
  </si>
  <si>
    <t>Day1</t>
  </si>
  <si>
    <t>Day2</t>
  </si>
  <si>
    <t>Day3</t>
  </si>
  <si>
    <t>Day4</t>
  </si>
  <si>
    <t>Day5</t>
  </si>
  <si>
    <t>Total Sales</t>
  </si>
  <si>
    <t>Target</t>
  </si>
  <si>
    <t>Target Hit %</t>
  </si>
  <si>
    <t>Away From Target %</t>
  </si>
  <si>
    <t>TCL-0001</t>
  </si>
  <si>
    <t>TCL-0002</t>
  </si>
  <si>
    <t>TCL-0003</t>
  </si>
  <si>
    <t>TCL-0004</t>
  </si>
  <si>
    <t>TCL-0005</t>
  </si>
  <si>
    <t>TCL-0006</t>
  </si>
  <si>
    <t>TCL-0007</t>
  </si>
  <si>
    <t>TCL-0008</t>
  </si>
  <si>
    <t>TCL-0009</t>
  </si>
  <si>
    <t>TCL-0010</t>
  </si>
  <si>
    <t>TCL-0011</t>
  </si>
  <si>
    <t>TCL-0012</t>
  </si>
  <si>
    <t>TCL-0013</t>
  </si>
  <si>
    <t>TCL-0014</t>
  </si>
  <si>
    <t>TCL-0015</t>
  </si>
  <si>
    <t>TCL-0016</t>
  </si>
  <si>
    <t>TCL-0017</t>
  </si>
  <si>
    <t>TCL-0018</t>
  </si>
  <si>
    <t>TCL-0019</t>
  </si>
  <si>
    <t>TCL-0020</t>
  </si>
  <si>
    <t>TCL-0021</t>
  </si>
  <si>
    <t>TCL-0022</t>
  </si>
  <si>
    <t>TCL-0023</t>
  </si>
  <si>
    <t>TCL-0024</t>
  </si>
  <si>
    <t>TCL-0025</t>
  </si>
  <si>
    <t>TCL-0026</t>
  </si>
  <si>
    <t>TCL-0027</t>
  </si>
  <si>
    <t>TCL-0028</t>
  </si>
  <si>
    <t>TCL-0029</t>
  </si>
  <si>
    <t>TCL-0030</t>
  </si>
  <si>
    <t>TCL-0031</t>
  </si>
  <si>
    <t>TCL-0032</t>
  </si>
  <si>
    <t>TCL-0033</t>
  </si>
  <si>
    <t>TCL-0034</t>
  </si>
  <si>
    <t>TCL-0035</t>
  </si>
  <si>
    <t>TCL-0036</t>
  </si>
  <si>
    <t>TCL-0037</t>
  </si>
  <si>
    <t>TCL-0038</t>
  </si>
  <si>
    <t>TCL-0039</t>
  </si>
  <si>
    <t>TCL-0040</t>
  </si>
  <si>
    <t>TCL-0041</t>
  </si>
  <si>
    <t>TCL-0042</t>
  </si>
  <si>
    <t>TCL-0043</t>
  </si>
  <si>
    <t>TCL-0044</t>
  </si>
  <si>
    <t>TCL-0045</t>
  </si>
  <si>
    <t>TCL-0046</t>
  </si>
  <si>
    <t>TCL-0047</t>
  </si>
  <si>
    <t>TCL-0048</t>
  </si>
  <si>
    <t>TCL-0049</t>
  </si>
  <si>
    <t>TCL-0050</t>
  </si>
  <si>
    <t>TCL-0051</t>
  </si>
  <si>
    <t>TCL-0052</t>
  </si>
  <si>
    <t>TCL-0053</t>
  </si>
  <si>
    <t>TCL-0054</t>
  </si>
  <si>
    <t>TCL-0055</t>
  </si>
  <si>
    <t>TCL-0056</t>
  </si>
  <si>
    <t>TCL-0057</t>
  </si>
  <si>
    <t>TCL-0058</t>
  </si>
  <si>
    <t>TCL-0059</t>
  </si>
  <si>
    <t>TCL-0060</t>
  </si>
  <si>
    <t>TCL-0061</t>
  </si>
  <si>
    <t>TCL-0062</t>
  </si>
  <si>
    <t>TCL-0063</t>
  </si>
  <si>
    <t>TCL-0064</t>
  </si>
  <si>
    <t>TCL-0065</t>
  </si>
  <si>
    <t>TCL-0066</t>
  </si>
  <si>
    <t>TCL-0067</t>
  </si>
  <si>
    <t>TCL-0068</t>
  </si>
  <si>
    <t>TCL-0069</t>
  </si>
  <si>
    <t>TCL-0070</t>
  </si>
  <si>
    <t>TCL-0071</t>
  </si>
  <si>
    <t>TCL-0072</t>
  </si>
  <si>
    <t>TCL-0073</t>
  </si>
  <si>
    <t>TCL-0074</t>
  </si>
  <si>
    <t>TCL-0075</t>
  </si>
  <si>
    <t>TCL-0076</t>
  </si>
  <si>
    <t>TCL-0077</t>
  </si>
  <si>
    <t>TCL-0078</t>
  </si>
  <si>
    <t>TCL-0079</t>
  </si>
  <si>
    <t>TCL-0080</t>
  </si>
  <si>
    <t>TCL-0081</t>
  </si>
  <si>
    <t>TCL-0082</t>
  </si>
  <si>
    <t>TCL-0083</t>
  </si>
  <si>
    <t>TCL-0084</t>
  </si>
  <si>
    <t>TCL-0085</t>
  </si>
  <si>
    <t>TCL-0086</t>
  </si>
  <si>
    <t>TCL-0087</t>
  </si>
  <si>
    <t>TCL-0088</t>
  </si>
  <si>
    <t>TCL-0089</t>
  </si>
  <si>
    <t>TCL-0090</t>
  </si>
  <si>
    <t>TCL-0091</t>
  </si>
  <si>
    <t>TCL-0092</t>
  </si>
  <si>
    <t>TCL-0093</t>
  </si>
  <si>
    <t>TCL-0094</t>
  </si>
  <si>
    <t>TCL-0095</t>
  </si>
  <si>
    <t>TCL-0096</t>
  </si>
  <si>
    <t>TCL-0097</t>
  </si>
  <si>
    <t>TCL-0098</t>
  </si>
  <si>
    <t>TCL-0099</t>
  </si>
  <si>
    <t>TCL-0100</t>
  </si>
  <si>
    <t>TCL-0101</t>
  </si>
  <si>
    <t>TCL-0102</t>
  </si>
  <si>
    <t>TCL-0103</t>
  </si>
  <si>
    <t>TCL-0104</t>
  </si>
  <si>
    <t>TCL-0105</t>
  </si>
  <si>
    <t>TCL-0106</t>
  </si>
  <si>
    <t>TCL-0107</t>
  </si>
  <si>
    <t>TCL-0108</t>
  </si>
  <si>
    <t>TCL-0109</t>
  </si>
  <si>
    <t>TCL-0110</t>
  </si>
  <si>
    <t>TCL-0111</t>
  </si>
  <si>
    <t>TCL-0112</t>
  </si>
  <si>
    <t>TCL-0113</t>
  </si>
  <si>
    <t>TCL-0114</t>
  </si>
  <si>
    <t>TCL-0115</t>
  </si>
  <si>
    <t>TCL-0116</t>
  </si>
  <si>
    <t>TCL-0117</t>
  </si>
  <si>
    <t>TCL-0118</t>
  </si>
  <si>
    <t>TCL-0119</t>
  </si>
  <si>
    <t>TCL-0120</t>
  </si>
  <si>
    <t>TCL-0121</t>
  </si>
  <si>
    <t>TCL-0122</t>
  </si>
  <si>
    <t>TCL-0123</t>
  </si>
  <si>
    <t>TCL-0124</t>
  </si>
  <si>
    <t>TCL-0125</t>
  </si>
  <si>
    <t>TCL-0126</t>
  </si>
  <si>
    <t>TCL-0127</t>
  </si>
  <si>
    <t>TCL-0128</t>
  </si>
  <si>
    <t>TCL-0129</t>
  </si>
  <si>
    <t>TCL-0130</t>
  </si>
  <si>
    <t>TCL-0131</t>
  </si>
  <si>
    <t>TCL-0132</t>
  </si>
  <si>
    <t>TCL-0133</t>
  </si>
  <si>
    <t>TCL-0134</t>
  </si>
  <si>
    <t>TCL-0135</t>
  </si>
  <si>
    <t>TCL-0136</t>
  </si>
  <si>
    <t>TCL-0137</t>
  </si>
  <si>
    <t>TCL-0138</t>
  </si>
  <si>
    <t>TCL-0139</t>
  </si>
  <si>
    <t>TCL-0140</t>
  </si>
  <si>
    <t>TCL-0141</t>
  </si>
  <si>
    <t>TCL-0142</t>
  </si>
  <si>
    <t>TCL-0143</t>
  </si>
  <si>
    <t>TCL-0144</t>
  </si>
  <si>
    <t>TCL-0145</t>
  </si>
  <si>
    <t>TCL-0146</t>
  </si>
  <si>
    <t>TCL-0147</t>
  </si>
  <si>
    <t>TCL-0148</t>
  </si>
  <si>
    <t>TCL-0149</t>
  </si>
  <si>
    <t>TCL-0150</t>
  </si>
  <si>
    <t>TCL-0151</t>
  </si>
  <si>
    <t>TCL-0152</t>
  </si>
  <si>
    <t>TCL-0153</t>
  </si>
  <si>
    <t>TCL-0154</t>
  </si>
  <si>
    <t>TCL-0155</t>
  </si>
  <si>
    <t>TCL-0156</t>
  </si>
  <si>
    <t>TCL-0157</t>
  </si>
  <si>
    <t>TCL-0158</t>
  </si>
  <si>
    <t>TCL-0159</t>
  </si>
  <si>
    <t>TCL-0160</t>
  </si>
  <si>
    <t>TCL-0161</t>
  </si>
  <si>
    <t>TCL-0162</t>
  </si>
  <si>
    <t>TCL-0163</t>
  </si>
  <si>
    <t>TCL-0164</t>
  </si>
  <si>
    <t>TCL-0165</t>
  </si>
  <si>
    <t>TCL-0166</t>
  </si>
  <si>
    <t>TCL-0167</t>
  </si>
  <si>
    <t>TCL-0168</t>
  </si>
  <si>
    <t>TCL-0169</t>
  </si>
  <si>
    <t>TCL-0170</t>
  </si>
  <si>
    <t>TCL-0171</t>
  </si>
  <si>
    <t>TCL-0172</t>
  </si>
  <si>
    <t>TCL-0173</t>
  </si>
  <si>
    <t>TCL-0174</t>
  </si>
  <si>
    <t>TCL-0175</t>
  </si>
  <si>
    <t>TCL-0176</t>
  </si>
  <si>
    <t>TCL-0177</t>
  </si>
  <si>
    <t>TCL-0178</t>
  </si>
  <si>
    <t>TCL-0179</t>
  </si>
  <si>
    <t>TCL-0180</t>
  </si>
  <si>
    <t>TCL-0181</t>
  </si>
  <si>
    <t>TCL-0182</t>
  </si>
  <si>
    <t>TCL-0183</t>
  </si>
  <si>
    <t>TCL-0184</t>
  </si>
  <si>
    <t>TCL-0185</t>
  </si>
  <si>
    <t>TCL-0186</t>
  </si>
  <si>
    <t>TCL-0187</t>
  </si>
  <si>
    <t>TCL-0188</t>
  </si>
  <si>
    <t>TCL-0189</t>
  </si>
  <si>
    <t>TCL-0190</t>
  </si>
  <si>
    <t>TCL-0191</t>
  </si>
  <si>
    <t>TCL-0192</t>
  </si>
  <si>
    <t>TCL-0193</t>
  </si>
  <si>
    <t>TCL-0194</t>
  </si>
  <si>
    <t>TCL-0195</t>
  </si>
  <si>
    <t>TCL-0196</t>
  </si>
  <si>
    <t>TCL-0197</t>
  </si>
  <si>
    <t>TCL-0198</t>
  </si>
  <si>
    <t>TCL-0199</t>
  </si>
  <si>
    <t>TCL-0200</t>
  </si>
  <si>
    <t>TCL-0201</t>
  </si>
  <si>
    <t>TCL-0202</t>
  </si>
  <si>
    <t>TCL-0203</t>
  </si>
  <si>
    <t>TCL-0204</t>
  </si>
  <si>
    <t>TCL-0205</t>
  </si>
  <si>
    <t>TCL-0206</t>
  </si>
  <si>
    <t>TCL-0207</t>
  </si>
  <si>
    <t>TCL-0208</t>
  </si>
  <si>
    <t>TCL-0209</t>
  </si>
  <si>
    <t>TCL-0210</t>
  </si>
  <si>
    <t>TCL-0211</t>
  </si>
  <si>
    <t>TCL-0212</t>
  </si>
  <si>
    <t>TCL-0213</t>
  </si>
  <si>
    <t>TCL-0214</t>
  </si>
  <si>
    <t>TCL-0215</t>
  </si>
  <si>
    <t>TCL-0216</t>
  </si>
  <si>
    <t>TCL-0217</t>
  </si>
  <si>
    <t>TCL-0218</t>
  </si>
  <si>
    <t>TCL-0219</t>
  </si>
  <si>
    <t>TCL-0220</t>
  </si>
  <si>
    <t>TCL-0221</t>
  </si>
  <si>
    <t>TCL-0222</t>
  </si>
  <si>
    <t>TCL-0223</t>
  </si>
  <si>
    <t>TCL-0224</t>
  </si>
  <si>
    <t>TCL-0225</t>
  </si>
  <si>
    <t>TCL-0226</t>
  </si>
  <si>
    <t>TCL-0227</t>
  </si>
  <si>
    <t>TCL-0228</t>
  </si>
  <si>
    <t>TCL-0229</t>
  </si>
  <si>
    <t>TCL-0230</t>
  </si>
  <si>
    <t>TCL-0231</t>
  </si>
  <si>
    <t>TCL-0232</t>
  </si>
  <si>
    <t>TCL-0233</t>
  </si>
  <si>
    <t>TCL-0234</t>
  </si>
  <si>
    <t>TCL-0235</t>
  </si>
  <si>
    <t>TCL-0236</t>
  </si>
  <si>
    <t>TCL-0237</t>
  </si>
  <si>
    <t>TCL-0238</t>
  </si>
  <si>
    <t>TCL-0239</t>
  </si>
  <si>
    <t>TCL-0240</t>
  </si>
  <si>
    <t>TCL-0241</t>
  </si>
  <si>
    <t>TCL-0242</t>
  </si>
  <si>
    <t>TCL-0243</t>
  </si>
  <si>
    <t>TCL-0244</t>
  </si>
  <si>
    <t>TCL-0245</t>
  </si>
  <si>
    <t>TCL-0246</t>
  </si>
  <si>
    <t>TCL-0247</t>
  </si>
  <si>
    <t>TCL-0248</t>
  </si>
  <si>
    <t>TCL-0249</t>
  </si>
  <si>
    <t>TCL-0250</t>
  </si>
  <si>
    <t>Wesley Williams</t>
  </si>
  <si>
    <t>Mary Sparks</t>
  </si>
  <si>
    <t>Erin Martin</t>
  </si>
  <si>
    <t>Matthew Walters</t>
  </si>
  <si>
    <t>Timothy Smith</t>
  </si>
  <si>
    <t>James Herrera</t>
  </si>
  <si>
    <t>Erica Davis</t>
  </si>
  <si>
    <t>Wanda Wood</t>
  </si>
  <si>
    <t>Phillip Scott</t>
  </si>
  <si>
    <t>Nathan Turner</t>
  </si>
  <si>
    <t>Joseph Walker</t>
  </si>
  <si>
    <t>Alan Downs</t>
  </si>
  <si>
    <t>Alexis Shaw</t>
  </si>
  <si>
    <t>Shelly Turner</t>
  </si>
  <si>
    <t>Makayla Decker</t>
  </si>
  <si>
    <t>Laura Foster</t>
  </si>
  <si>
    <t>Elizabeth Greene</t>
  </si>
  <si>
    <t>Brenda Summers</t>
  </si>
  <si>
    <t>Melissa Hartman DDS</t>
  </si>
  <si>
    <t>Anthony Silva</t>
  </si>
  <si>
    <t>Anthony Davis</t>
  </si>
  <si>
    <t>Patricia Henderson</t>
  </si>
  <si>
    <t>Carol Reyes</t>
  </si>
  <si>
    <t>Juan Steele</t>
  </si>
  <si>
    <t>Aaron Lopez</t>
  </si>
  <si>
    <t>Ms. Jennifer Gilbert</t>
  </si>
  <si>
    <t>Ann Cox</t>
  </si>
  <si>
    <t>Paul Lee</t>
  </si>
  <si>
    <t>Jill Owens</t>
  </si>
  <si>
    <t>William Hurley</t>
  </si>
  <si>
    <t>Allison Zhang</t>
  </si>
  <si>
    <t>Jonathan Nguyen</t>
  </si>
  <si>
    <t>Cynthia Hill</t>
  </si>
  <si>
    <t>Katie Morgan</t>
  </si>
  <si>
    <t>Dennis Dixon</t>
  </si>
  <si>
    <t>Brian Scott</t>
  </si>
  <si>
    <t>James Petersen</t>
  </si>
  <si>
    <t>Thomas Garcia</t>
  </si>
  <si>
    <t>Scott Mckay</t>
  </si>
  <si>
    <t>William Whitney</t>
  </si>
  <si>
    <t>Heidi Anderson</t>
  </si>
  <si>
    <t>Gregory Foster</t>
  </si>
  <si>
    <t>Samantha Weaver</t>
  </si>
  <si>
    <t>Samuel Pope</t>
  </si>
  <si>
    <t>Scott Allen</t>
  </si>
  <si>
    <t>Oscar Clay</t>
  </si>
  <si>
    <t>Christian Lopez</t>
  </si>
  <si>
    <t>Peter Kemp</t>
  </si>
  <si>
    <t>David Murray</t>
  </si>
  <si>
    <t>Rachel Miller</t>
  </si>
  <si>
    <t>Carlos Adkins</t>
  </si>
  <si>
    <t>Trevor Graham</t>
  </si>
  <si>
    <t>Douglas Santos</t>
  </si>
  <si>
    <t>Brittany Ferguson</t>
  </si>
  <si>
    <t>April Collier</t>
  </si>
  <si>
    <t>Jose Coffey</t>
  </si>
  <si>
    <t>Christie Yates</t>
  </si>
  <si>
    <t>Daniel Martin</t>
  </si>
  <si>
    <t>Kristen Mahoney</t>
  </si>
  <si>
    <t>Alvin Oliver</t>
  </si>
  <si>
    <t>Crystal Petty</t>
  </si>
  <si>
    <t>Kimberly Evans</t>
  </si>
  <si>
    <t>Krista Marsh</t>
  </si>
  <si>
    <t>Angela Hodge</t>
  </si>
  <si>
    <t>Valerie Miller</t>
  </si>
  <si>
    <t>Daniel Hampton</t>
  </si>
  <si>
    <t>Rebecca Zimmerman</t>
  </si>
  <si>
    <t>Timothy Williams</t>
  </si>
  <si>
    <t>Danielle Walsh</t>
  </si>
  <si>
    <t>Tracy Jones DDS</t>
  </si>
  <si>
    <t>Amber Lewis</t>
  </si>
  <si>
    <t>Heidi Delacruz</t>
  </si>
  <si>
    <t>Timothy Adams</t>
  </si>
  <si>
    <t>Cassandra Hughes</t>
  </si>
  <si>
    <t>Toni Rodriguez</t>
  </si>
  <si>
    <t>Edwin Russell</t>
  </si>
  <si>
    <t>Mary York</t>
  </si>
  <si>
    <t>Jerry Duncan</t>
  </si>
  <si>
    <t>Sabrina Phillips</t>
  </si>
  <si>
    <t>William Mays</t>
  </si>
  <si>
    <t>Dawn Sanchez</t>
  </si>
  <si>
    <t>Kim Beltran</t>
  </si>
  <si>
    <t>Michael Wang</t>
  </si>
  <si>
    <t>Ashley Rosario</t>
  </si>
  <si>
    <t>Allison Powell</t>
  </si>
  <si>
    <t>Michael Sanders</t>
  </si>
  <si>
    <t>Amy Maddox</t>
  </si>
  <si>
    <t>Brandon Bowman</t>
  </si>
  <si>
    <t>Regina Leblanc</t>
  </si>
  <si>
    <t>Charles Fischer</t>
  </si>
  <si>
    <t>John Carroll</t>
  </si>
  <si>
    <t>Patricia Warren</t>
  </si>
  <si>
    <t>Karen Moody</t>
  </si>
  <si>
    <t>Mrs. Carrie English</t>
  </si>
  <si>
    <t>Andrea Cruz</t>
  </si>
  <si>
    <t>Ashley Johnson</t>
  </si>
  <si>
    <t>Heather Olson</t>
  </si>
  <si>
    <t>David Higgins</t>
  </si>
  <si>
    <t>Jean Flores</t>
  </si>
  <si>
    <t>Laura Lopez</t>
  </si>
  <si>
    <t>Joshua Jackson</t>
  </si>
  <si>
    <t>Sharon Martinez</t>
  </si>
  <si>
    <t>Travis Hinton</t>
  </si>
  <si>
    <t>Michael Nguyen</t>
  </si>
  <si>
    <t>Eric Bennett</t>
  </si>
  <si>
    <t>Jonathan Walter</t>
  </si>
  <si>
    <t>Robert Jackson</t>
  </si>
  <si>
    <t>Miguel Dodson</t>
  </si>
  <si>
    <t>Scott Henry</t>
  </si>
  <si>
    <t>Matthew Whitney</t>
  </si>
  <si>
    <t>Robert Willis</t>
  </si>
  <si>
    <t>Kimberly Mooney</t>
  </si>
  <si>
    <t>Kathryn Frank</t>
  </si>
  <si>
    <t>Lisa Neal</t>
  </si>
  <si>
    <t>David Bennett</t>
  </si>
  <si>
    <t>Stefanie Walker</t>
  </si>
  <si>
    <t>Linda Cox</t>
  </si>
  <si>
    <t>Heather Brooks</t>
  </si>
  <si>
    <t>Katrina Jones</t>
  </si>
  <si>
    <t>Marc Jimenez</t>
  </si>
  <si>
    <t>Timothy Gonzales</t>
  </si>
  <si>
    <t>Daniel Hunt</t>
  </si>
  <si>
    <t>Rebecca Ramos</t>
  </si>
  <si>
    <t>Amanda Jones</t>
  </si>
  <si>
    <t>Laura Schultz</t>
  </si>
  <si>
    <t>Steven Campbell</t>
  </si>
  <si>
    <t>Matthew Carpenter</t>
  </si>
  <si>
    <t>Isaiah Rodriguez</t>
  </si>
  <si>
    <t>Ashley Williams</t>
  </si>
  <si>
    <t>Jamie Brown</t>
  </si>
  <si>
    <t>Bryan King</t>
  </si>
  <si>
    <t>Christian Wilson</t>
  </si>
  <si>
    <t>Samantha Green</t>
  </si>
  <si>
    <t>Laura Wallace</t>
  </si>
  <si>
    <t>Lawrence Watson</t>
  </si>
  <si>
    <t>Stacey Kaufman</t>
  </si>
  <si>
    <t>Anthony King</t>
  </si>
  <si>
    <t>Donna Morrow</t>
  </si>
  <si>
    <t>Scott Salas</t>
  </si>
  <si>
    <t>Jennifer Mendoza</t>
  </si>
  <si>
    <t>Kelly Gonzalez</t>
  </si>
  <si>
    <t>George Lyons</t>
  </si>
  <si>
    <t>Ryan Charles</t>
  </si>
  <si>
    <t>Eric Wall</t>
  </si>
  <si>
    <t>Shannon Osborne</t>
  </si>
  <si>
    <t>James Richardson</t>
  </si>
  <si>
    <t>Matthew Bennett</t>
  </si>
  <si>
    <t>Jennifer Stone</t>
  </si>
  <si>
    <t>Jeffrey Coleman</t>
  </si>
  <si>
    <t>Stephanie Taylor</t>
  </si>
  <si>
    <t>Kyle Fernandez</t>
  </si>
  <si>
    <t>John Johns</t>
  </si>
  <si>
    <t>Kevin Buchanan</t>
  </si>
  <si>
    <t>Marie Smith</t>
  </si>
  <si>
    <t>Patricia Orr</t>
  </si>
  <si>
    <t>Michael Garrett</t>
  </si>
  <si>
    <t>Oscar Terry</t>
  </si>
  <si>
    <t>Megan Fleming</t>
  </si>
  <si>
    <t>Steven Jackson</t>
  </si>
  <si>
    <t>Samuel Young</t>
  </si>
  <si>
    <t>Michael Harris</t>
  </si>
  <si>
    <t>Jeffrey Carr</t>
  </si>
  <si>
    <t>Louis Brown</t>
  </si>
  <si>
    <t>Michael Gordon</t>
  </si>
  <si>
    <t>Ryan Hawkins</t>
  </si>
  <si>
    <t>Wanda Sanchez</t>
  </si>
  <si>
    <t>Michael Hall</t>
  </si>
  <si>
    <t>Sandra Cantrell</t>
  </si>
  <si>
    <t>William Glover</t>
  </si>
  <si>
    <t>Sheila Martin</t>
  </si>
  <si>
    <t>Michael Byrd</t>
  </si>
  <si>
    <t>Kimberly Peterson</t>
  </si>
  <si>
    <t>Angela Perez</t>
  </si>
  <si>
    <t>Dustin Page</t>
  </si>
  <si>
    <t>Mrs. Karen Gomez MD</t>
  </si>
  <si>
    <t>Michael Price</t>
  </si>
  <si>
    <t>Haley Le</t>
  </si>
  <si>
    <t>Angela Williams</t>
  </si>
  <si>
    <t>William Wagner</t>
  </si>
  <si>
    <t>Louis Avery</t>
  </si>
  <si>
    <t>Matthew Thompson</t>
  </si>
  <si>
    <t>Brenda Smith</t>
  </si>
  <si>
    <t>Robert Hodge</t>
  </si>
  <si>
    <t>David Gomez</t>
  </si>
  <si>
    <t>Edward Newton</t>
  </si>
  <si>
    <t>Alicia Rivera</t>
  </si>
  <si>
    <t>Crystal Bowman</t>
  </si>
  <si>
    <t>Miguel Williams</t>
  </si>
  <si>
    <t>Shannon Allen</t>
  </si>
  <si>
    <t>Shane Payne</t>
  </si>
  <si>
    <t>Brandon Brown</t>
  </si>
  <si>
    <t>Anthony Smith</t>
  </si>
  <si>
    <t>Jessica Hall</t>
  </si>
  <si>
    <t>Kevin Jones</t>
  </si>
  <si>
    <t>Kathleen Williams</t>
  </si>
  <si>
    <t>Kylie Walsh</t>
  </si>
  <si>
    <t>Michelle Dennis</t>
  </si>
  <si>
    <t>Sheena Evans</t>
  </si>
  <si>
    <t>Maria Elliott</t>
  </si>
  <si>
    <t>Christopher Randall</t>
  </si>
  <si>
    <t>Michael Reeves</t>
  </si>
  <si>
    <t>Shane Walker</t>
  </si>
  <si>
    <t>Thomas White</t>
  </si>
  <si>
    <t>Angela Howard</t>
  </si>
  <si>
    <t>David Martinez</t>
  </si>
  <si>
    <t>Nancy Price</t>
  </si>
  <si>
    <t>Kathleen Jones</t>
  </si>
  <si>
    <t>Peter Anderson</t>
  </si>
  <si>
    <t>Michael Clark</t>
  </si>
  <si>
    <t>Kristina Shaw</t>
  </si>
  <si>
    <t>Holly Stewart</t>
  </si>
  <si>
    <t>Donna Foley</t>
  </si>
  <si>
    <t>Courtney Montoya</t>
  </si>
  <si>
    <t>Melissa Lewis</t>
  </si>
  <si>
    <t>Joseph Stokes</t>
  </si>
  <si>
    <t>Kurt Smith</t>
  </si>
  <si>
    <t>Richard Hardy</t>
  </si>
  <si>
    <t>Holly Romero</t>
  </si>
  <si>
    <t>Maureen Grimes</t>
  </si>
  <si>
    <t>Samuel Cortez</t>
  </si>
  <si>
    <t>Frank Lopez</t>
  </si>
  <si>
    <t>Mckenzie Brandt</t>
  </si>
  <si>
    <t>Brandi Rios</t>
  </si>
  <si>
    <t>Dana Stone</t>
  </si>
  <si>
    <t>Amy Drake</t>
  </si>
  <si>
    <t>Richard Durham</t>
  </si>
  <si>
    <t>Valerie Simmons</t>
  </si>
  <si>
    <t>Kathleen Singleton</t>
  </si>
  <si>
    <t>Julia Reed</t>
  </si>
  <si>
    <t>John Spencer</t>
  </si>
  <si>
    <t>Bruce Wolf</t>
  </si>
  <si>
    <t>Donald Lamb</t>
  </si>
  <si>
    <t>Ryan Parks</t>
  </si>
  <si>
    <t>Adam Carter</t>
  </si>
  <si>
    <t>Jamie Richards</t>
  </si>
  <si>
    <t>Dr. Elizabeth Edwards DDS</t>
  </si>
  <si>
    <t>Sonya Turner</t>
  </si>
  <si>
    <t>Matthew Wells</t>
  </si>
  <si>
    <t>James Smith</t>
  </si>
  <si>
    <t>James Kemp</t>
  </si>
  <si>
    <t>John Pratt</t>
  </si>
  <si>
    <t>John Burns</t>
  </si>
  <si>
    <t>Jason Dixon</t>
  </si>
  <si>
    <t>Nicholas Carter</t>
  </si>
  <si>
    <t>Lisa Sawyer</t>
  </si>
  <si>
    <t>Diana Anderson</t>
  </si>
  <si>
    <t>Emily Sullivan</t>
  </si>
  <si>
    <t>Alicia Johnson</t>
  </si>
  <si>
    <t>Elizabeth Miller</t>
  </si>
  <si>
    <t>Allison Sosa</t>
  </si>
  <si>
    <t>Kolkata</t>
  </si>
  <si>
    <t>Bangalore</t>
  </si>
  <si>
    <t>Hyderabad</t>
  </si>
  <si>
    <t>Chennai</t>
  </si>
  <si>
    <t>Mumbai</t>
  </si>
  <si>
    <t>Delhi</t>
  </si>
  <si>
    <t xml:space="preserve">Total Sales </t>
  </si>
  <si>
    <t xml:space="preserve">Target Hit % </t>
  </si>
  <si>
    <t xml:space="preserve">Away From Target % </t>
  </si>
  <si>
    <t xml:space="preserve">Careen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</si>
</sst>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11"/>
      <color theme="1"/>
      <name val="Cambria"/>
      <family val="1"/>
      <scheme val="major"/>
    </font>
    <font>
      <b/>
      <sz val="12"/>
      <color theme="1"/>
      <name val="Cambria"/>
      <family val="1"/>
      <scheme val="major"/>
    </font>
    <font>
      <sz val="11"/>
      <color theme="1"/>
      <name val="Calibri"/>
      <family val="2"/>
      <scheme val="minor"/>
    </font>
    <font>
      <sz val="8"/>
      <color rgb="FF000000"/>
      <name val="Segoe UI"/>
      <family val="2"/>
    </font>
  </fonts>
  <fills count="4">
    <fill>
      <patternFill patternType="none"/>
    </fill>
    <fill>
      <patternFill patternType="gray125"/>
    </fill>
    <fill>
      <patternFill patternType="solid">
        <fgColor rgb="FF92D050"/>
        <bgColor indexed="64"/>
      </patternFill>
    </fill>
    <fill>
      <patternFill patternType="solid">
        <fgColor theme="0" tint="-4.9989318521683403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9" fontId="3" fillId="0" borderId="0" applyFont="0" applyFill="0" applyBorder="0" applyAlignment="0" applyProtection="0"/>
  </cellStyleXfs>
  <cellXfs count="8">
    <xf numFmtId="0" fontId="0" fillId="0" borderId="0" xfId="0"/>
    <xf numFmtId="0" fontId="1" fillId="0" borderId="1" xfId="0" applyFont="1" applyBorder="1" applyAlignment="1">
      <alignment horizontal="center" vertical="center"/>
    </xf>
    <xf numFmtId="0" fontId="2" fillId="2" borderId="1" xfId="0" applyFont="1" applyFill="1" applyBorder="1" applyAlignment="1">
      <alignment horizontal="center" vertical="center"/>
    </xf>
    <xf numFmtId="10" fontId="1" fillId="0" borderId="1" xfId="1" applyNumberFormat="1" applyFont="1" applyBorder="1" applyAlignment="1">
      <alignment horizontal="center" vertical="center"/>
    </xf>
    <xf numFmtId="0" fontId="0" fillId="0" borderId="0" xfId="0" pivotButton="1"/>
    <xf numFmtId="0" fontId="0" fillId="0" borderId="0" xfId="0" applyAlignment="1">
      <alignment horizontal="left"/>
    </xf>
    <xf numFmtId="10" fontId="0" fillId="0" borderId="0" xfId="0" applyNumberFormat="1"/>
    <xf numFmtId="0" fontId="0" fillId="3"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9" defaultPivotStyle="PivotStyleLight16">
    <tableStyle name="Slicer Style 1" pivot="0" table="0" count="5" xr9:uid="{61EAAE8F-BEC2-404C-AD61-3CB395795F7E}">
      <tableStyleElement type="wholeTable" dxfId="0"/>
    </tableStyle>
  </tableStyles>
  <extLst>
    <ext xmlns:x14="http://schemas.microsoft.com/office/spreadsheetml/2009/9/main" uri="{46F421CA-312F-682f-3DD2-61675219B42D}">
      <x14:dxfs count="4">
        <dxf>
          <fill>
            <patternFill>
              <bgColor theme="8" tint="0.39994506668294322"/>
            </patternFill>
          </fill>
        </dxf>
        <dxf>
          <fill>
            <patternFill>
              <bgColor theme="6"/>
            </patternFill>
          </fill>
        </dxf>
        <dxf>
          <fill>
            <patternFill>
              <bgColor rgb="FFFFFF00"/>
            </patternFill>
          </fill>
        </dxf>
        <dxf>
          <fill>
            <patternFill>
              <bgColor theme="6"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[CC Sales Data 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3"/>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3"/>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Alvin Oliver</c:v>
                </c:pt>
                <c:pt idx="1">
                  <c:v>Ann Cox</c:v>
                </c:pt>
                <c:pt idx="2">
                  <c:v>John Carroll</c:v>
                </c:pt>
                <c:pt idx="3">
                  <c:v>Shannon Allen</c:v>
                </c:pt>
                <c:pt idx="4">
                  <c:v>Stefanie Walker</c:v>
                </c:pt>
              </c:strCache>
            </c:strRef>
          </c:cat>
          <c:val>
            <c:numRef>
              <c:f>Dashboard!$B$4:$B$8</c:f>
              <c:numCache>
                <c:formatCode>General</c:formatCode>
                <c:ptCount val="5"/>
                <c:pt idx="0">
                  <c:v>417</c:v>
                </c:pt>
                <c:pt idx="1">
                  <c:v>373</c:v>
                </c:pt>
                <c:pt idx="2">
                  <c:v>368</c:v>
                </c:pt>
                <c:pt idx="3">
                  <c:v>395</c:v>
                </c:pt>
                <c:pt idx="4">
                  <c:v>403</c:v>
                </c:pt>
              </c:numCache>
            </c:numRef>
          </c:val>
          <c:extLst>
            <c:ext xmlns:c16="http://schemas.microsoft.com/office/drawing/2014/chart" uri="{C3380CC4-5D6E-409C-BE32-E72D297353CC}">
              <c16:uniqueId val="{00000000-EA9E-4FA9-9C30-7DE0836D101C}"/>
            </c:ext>
          </c:extLst>
        </c:ser>
        <c:dLbls>
          <c:showLegendKey val="0"/>
          <c:showVal val="0"/>
          <c:showCatName val="0"/>
          <c:showSerName val="0"/>
          <c:showPercent val="0"/>
          <c:showBubbleSize val="0"/>
        </c:dLbls>
        <c:gapWidth val="182"/>
        <c:axId val="755440528"/>
        <c:axId val="785067344"/>
      </c:barChart>
      <c:catAx>
        <c:axId val="7554405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5067344"/>
        <c:crosses val="autoZero"/>
        <c:auto val="1"/>
        <c:lblAlgn val="ctr"/>
        <c:lblOffset val="100"/>
        <c:noMultiLvlLbl val="0"/>
      </c:catAx>
      <c:valAx>
        <c:axId val="785067344"/>
        <c:scaling>
          <c:orientation val="minMax"/>
        </c:scaling>
        <c:delete val="1"/>
        <c:axPos val="b"/>
        <c:numFmt formatCode="General" sourceLinked="1"/>
        <c:majorTickMark val="none"/>
        <c:minorTickMark val="none"/>
        <c:tickLblPos val="nextTo"/>
        <c:crossAx val="75544052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[CC Sales Data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DC2-4571-9EC5-2C64FC0A000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DC2-4571-9EC5-2C64FC0A000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DC2-4571-9EC5-2C64FC0A000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DC2-4571-9EC5-2C64FC0A000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DC2-4571-9EC5-2C64FC0A000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Alvin Oliver</c:v>
                </c:pt>
                <c:pt idx="1">
                  <c:v>Ann Cox</c:v>
                </c:pt>
                <c:pt idx="2">
                  <c:v>John Carroll</c:v>
                </c:pt>
                <c:pt idx="3">
                  <c:v>Shannon Allen</c:v>
                </c:pt>
                <c:pt idx="4">
                  <c:v>Stefanie Walker</c:v>
                </c:pt>
              </c:strCache>
            </c:strRef>
          </c:cat>
          <c:val>
            <c:numRef>
              <c:f>Dashboard!$H$4:$H$8</c:f>
              <c:numCache>
                <c:formatCode>0.00%</c:formatCode>
                <c:ptCount val="5"/>
                <c:pt idx="0">
                  <c:v>0.83399999999999996</c:v>
                </c:pt>
                <c:pt idx="1">
                  <c:v>0.746</c:v>
                </c:pt>
                <c:pt idx="2">
                  <c:v>0.73599999999999999</c:v>
                </c:pt>
                <c:pt idx="3">
                  <c:v>0.79</c:v>
                </c:pt>
                <c:pt idx="4">
                  <c:v>0.80600000000000005</c:v>
                </c:pt>
              </c:numCache>
            </c:numRef>
          </c:val>
          <c:extLst>
            <c:ext xmlns:c16="http://schemas.microsoft.com/office/drawing/2014/chart" uri="{C3380CC4-5D6E-409C-BE32-E72D297353CC}">
              <c16:uniqueId val="{00000000-9741-458D-BD4F-0906284674B1}"/>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[CC Sales Data 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92D050"/>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Ashley Johnson</c:v>
                </c:pt>
                <c:pt idx="1">
                  <c:v>Elizabeth Miller</c:v>
                </c:pt>
                <c:pt idx="2">
                  <c:v>Haley Le</c:v>
                </c:pt>
                <c:pt idx="3">
                  <c:v>Michael Harris</c:v>
                </c:pt>
                <c:pt idx="4">
                  <c:v>Sheila Martin</c:v>
                </c:pt>
              </c:strCache>
            </c:strRef>
          </c:cat>
          <c:val>
            <c:numRef>
              <c:f>Dashboard!$K$4:$K$8</c:f>
              <c:numCache>
                <c:formatCode>0.00%</c:formatCode>
                <c:ptCount val="5"/>
                <c:pt idx="0">
                  <c:v>0.66799999999999993</c:v>
                </c:pt>
                <c:pt idx="1">
                  <c:v>0.628</c:v>
                </c:pt>
                <c:pt idx="2">
                  <c:v>0.63200000000000001</c:v>
                </c:pt>
                <c:pt idx="3">
                  <c:v>0.622</c:v>
                </c:pt>
                <c:pt idx="4">
                  <c:v>0.65200000000000002</c:v>
                </c:pt>
              </c:numCache>
            </c:numRef>
          </c:val>
          <c:smooth val="0"/>
          <c:extLst>
            <c:ext xmlns:c16="http://schemas.microsoft.com/office/drawing/2014/chart" uri="{C3380CC4-5D6E-409C-BE32-E72D297353CC}">
              <c16:uniqueId val="{00000000-0E2B-4AEE-A591-BDAFE9643B2D}"/>
            </c:ext>
          </c:extLst>
        </c:ser>
        <c:dLbls>
          <c:showLegendKey val="0"/>
          <c:showVal val="0"/>
          <c:showCatName val="0"/>
          <c:showSerName val="0"/>
          <c:showPercent val="0"/>
          <c:showBubbleSize val="0"/>
        </c:dLbls>
        <c:smooth val="0"/>
        <c:axId val="856014032"/>
        <c:axId val="856010192"/>
      </c:lineChart>
      <c:catAx>
        <c:axId val="856014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856010192"/>
        <c:crosses val="autoZero"/>
        <c:auto val="1"/>
        <c:lblAlgn val="ctr"/>
        <c:lblOffset val="100"/>
        <c:noMultiLvlLbl val="0"/>
      </c:catAx>
      <c:valAx>
        <c:axId val="856010192"/>
        <c:scaling>
          <c:orientation val="minMax"/>
        </c:scaling>
        <c:delete val="1"/>
        <c:axPos val="l"/>
        <c:numFmt formatCode="0.00%" sourceLinked="1"/>
        <c:majorTickMark val="none"/>
        <c:minorTickMark val="none"/>
        <c:tickLblPos val="nextTo"/>
        <c:crossAx val="8560140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30480</xdr:colOff>
      <xdr:row>8</xdr:row>
      <xdr:rowOff>83820</xdr:rowOff>
    </xdr:from>
    <xdr:to>
      <xdr:col>5</xdr:col>
      <xdr:colOff>7620</xdr:colOff>
      <xdr:row>17</xdr:row>
      <xdr:rowOff>175260</xdr:rowOff>
    </xdr:to>
    <xdr:graphicFrame macro="">
      <xdr:nvGraphicFramePr>
        <xdr:cNvPr id="2" name="Chart 1">
          <a:extLst>
            <a:ext uri="{FF2B5EF4-FFF2-40B4-BE49-F238E27FC236}">
              <a16:creationId xmlns:a16="http://schemas.microsoft.com/office/drawing/2014/main" id="{09538D91-E988-6FB3-9118-406F665460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12700</xdr:colOff>
      <xdr:row>8</xdr:row>
      <xdr:rowOff>73025</xdr:rowOff>
    </xdr:from>
    <xdr:to>
      <xdr:col>8</xdr:col>
      <xdr:colOff>6350</xdr:colOff>
      <xdr:row>17</xdr:row>
      <xdr:rowOff>177800</xdr:rowOff>
    </xdr:to>
    <xdr:graphicFrame macro="">
      <xdr:nvGraphicFramePr>
        <xdr:cNvPr id="4" name="Chart 3">
          <a:extLst>
            <a:ext uri="{FF2B5EF4-FFF2-40B4-BE49-F238E27FC236}">
              <a16:creationId xmlns:a16="http://schemas.microsoft.com/office/drawing/2014/main" id="{672EC7F9-CB05-E699-5E9E-36CE559061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120650</xdr:colOff>
      <xdr:row>8</xdr:row>
      <xdr:rowOff>79375</xdr:rowOff>
    </xdr:from>
    <xdr:to>
      <xdr:col>11</xdr:col>
      <xdr:colOff>0</xdr:colOff>
      <xdr:row>18</xdr:row>
      <xdr:rowOff>0</xdr:rowOff>
    </xdr:to>
    <xdr:graphicFrame macro="">
      <xdr:nvGraphicFramePr>
        <xdr:cNvPr id="5" name="Chart 4">
          <a:extLst>
            <a:ext uri="{FF2B5EF4-FFF2-40B4-BE49-F238E27FC236}">
              <a16:creationId xmlns:a16="http://schemas.microsoft.com/office/drawing/2014/main" id="{649B81C6-A74C-B406-A5AB-8C22942B0D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8891</xdr:rowOff>
    </xdr:from>
    <xdr:to>
      <xdr:col>10</xdr:col>
      <xdr:colOff>1245870</xdr:colOff>
      <xdr:row>1</xdr:row>
      <xdr:rowOff>44450</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C76008B4-7C46-623F-9D8C-BF41DF69EC5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8891"/>
              <a:ext cx="9640570" cy="3784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304800</xdr:colOff>
      <xdr:row>1</xdr:row>
      <xdr:rowOff>171450</xdr:rowOff>
    </xdr:from>
    <xdr:to>
      <xdr:col>1</xdr:col>
      <xdr:colOff>266700</xdr:colOff>
      <xdr:row>1</xdr:row>
      <xdr:rowOff>508000</xdr:rowOff>
    </xdr:to>
    <xdr:sp macro="" textlink="">
      <xdr:nvSpPr>
        <xdr:cNvPr id="9" name="Speech Bubble: Rectangle with Corners Rounded 8">
          <a:extLst>
            <a:ext uri="{FF2B5EF4-FFF2-40B4-BE49-F238E27FC236}">
              <a16:creationId xmlns:a16="http://schemas.microsoft.com/office/drawing/2014/main" id="{B99F5635-FE1F-B159-5A20-E861FCF9A45C}"/>
            </a:ext>
          </a:extLst>
        </xdr:cNvPr>
        <xdr:cNvSpPr/>
      </xdr:nvSpPr>
      <xdr:spPr>
        <a:xfrm>
          <a:off x="304800" y="355600"/>
          <a:ext cx="1511300" cy="336550"/>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449580</xdr:colOff>
          <xdr:row>1</xdr:row>
          <xdr:rowOff>220980</xdr:rowOff>
        </xdr:from>
        <xdr:to>
          <xdr:col>1</xdr:col>
          <xdr:colOff>137160</xdr:colOff>
          <xdr:row>1</xdr:row>
          <xdr:rowOff>441960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1</a:t>
              </a:r>
            </a:p>
          </xdr:txBody>
        </xdr:sp>
        <xdr:clientData/>
      </xdr:twoCellAnchor>
    </mc:Choice>
    <mc:Fallback/>
  </mc:AlternateContent>
  <xdr:twoCellAnchor>
    <xdr:from>
      <xdr:col>3</xdr:col>
      <xdr:colOff>203200</xdr:colOff>
      <xdr:row>1</xdr:row>
      <xdr:rowOff>171450</xdr:rowOff>
    </xdr:from>
    <xdr:to>
      <xdr:col>4</xdr:col>
      <xdr:colOff>381000</xdr:colOff>
      <xdr:row>1</xdr:row>
      <xdr:rowOff>508000</xdr:rowOff>
    </xdr:to>
    <xdr:sp macro="" textlink="">
      <xdr:nvSpPr>
        <xdr:cNvPr id="13" name="Speech Bubble: Rectangle with Corners Rounded 12">
          <a:extLst>
            <a:ext uri="{FF2B5EF4-FFF2-40B4-BE49-F238E27FC236}">
              <a16:creationId xmlns:a16="http://schemas.microsoft.com/office/drawing/2014/main" id="{1E4E817C-9461-4990-85AE-3FDEB3C72860}"/>
            </a:ext>
          </a:extLst>
        </xdr:cNvPr>
        <xdr:cNvSpPr/>
      </xdr:nvSpPr>
      <xdr:spPr>
        <a:xfrm>
          <a:off x="2660650" y="355600"/>
          <a:ext cx="1511300" cy="336550"/>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350520</xdr:colOff>
          <xdr:row>1</xdr:row>
          <xdr:rowOff>220980</xdr:rowOff>
        </xdr:from>
        <xdr:to>
          <xdr:col>4</xdr:col>
          <xdr:colOff>251460</xdr:colOff>
          <xdr:row>1</xdr:row>
          <xdr:rowOff>441960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2</a:t>
              </a:r>
            </a:p>
          </xdr:txBody>
        </xdr:sp>
        <xdr:clientData/>
      </xdr:twoCellAnchor>
    </mc:Choice>
    <mc:Fallback/>
  </mc:AlternateContent>
  <xdr:twoCellAnchor>
    <xdr:from>
      <xdr:col>6</xdr:col>
      <xdr:colOff>311150</xdr:colOff>
      <xdr:row>1</xdr:row>
      <xdr:rowOff>165100</xdr:rowOff>
    </xdr:from>
    <xdr:to>
      <xdr:col>7</xdr:col>
      <xdr:colOff>482600</xdr:colOff>
      <xdr:row>1</xdr:row>
      <xdr:rowOff>501650</xdr:rowOff>
    </xdr:to>
    <xdr:sp macro="" textlink="">
      <xdr:nvSpPr>
        <xdr:cNvPr id="14" name="Speech Bubble: Rectangle with Corners Rounded 13">
          <a:extLst>
            <a:ext uri="{FF2B5EF4-FFF2-40B4-BE49-F238E27FC236}">
              <a16:creationId xmlns:a16="http://schemas.microsoft.com/office/drawing/2014/main" id="{B91B632B-A924-40DA-8997-A4D4997EF6EF}"/>
            </a:ext>
          </a:extLst>
        </xdr:cNvPr>
        <xdr:cNvSpPr/>
      </xdr:nvSpPr>
      <xdr:spPr>
        <a:xfrm>
          <a:off x="4959350" y="349250"/>
          <a:ext cx="1511300" cy="336550"/>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457200</xdr:colOff>
          <xdr:row>1</xdr:row>
          <xdr:rowOff>213360</xdr:rowOff>
        </xdr:from>
        <xdr:to>
          <xdr:col>7</xdr:col>
          <xdr:colOff>350520</xdr:colOff>
          <xdr:row>1</xdr:row>
          <xdr:rowOff>434340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3</a:t>
              </a:r>
            </a:p>
          </xdr:txBody>
        </xdr:sp>
        <xdr:clientData/>
      </xdr:twoCellAnchor>
    </mc:Choice>
    <mc:Fallback/>
  </mc:AlternateContent>
  <xdr:twoCellAnchor>
    <xdr:from>
      <xdr:col>9</xdr:col>
      <xdr:colOff>495300</xdr:colOff>
      <xdr:row>1</xdr:row>
      <xdr:rowOff>171450</xdr:rowOff>
    </xdr:from>
    <xdr:to>
      <xdr:col>10</xdr:col>
      <xdr:colOff>673100</xdr:colOff>
      <xdr:row>1</xdr:row>
      <xdr:rowOff>508000</xdr:rowOff>
    </xdr:to>
    <xdr:sp macro="" textlink="">
      <xdr:nvSpPr>
        <xdr:cNvPr id="15" name="Speech Bubble: Rectangle with Corners Rounded 14">
          <a:extLst>
            <a:ext uri="{FF2B5EF4-FFF2-40B4-BE49-F238E27FC236}">
              <a16:creationId xmlns:a16="http://schemas.microsoft.com/office/drawing/2014/main" id="{CF5C4882-BA8E-492A-A396-E6CEE7CF256E}"/>
            </a:ext>
          </a:extLst>
        </xdr:cNvPr>
        <xdr:cNvSpPr/>
      </xdr:nvSpPr>
      <xdr:spPr>
        <a:xfrm>
          <a:off x="7556500" y="355600"/>
          <a:ext cx="1511300" cy="336550"/>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655320</xdr:colOff>
          <xdr:row>1</xdr:row>
          <xdr:rowOff>220980</xdr:rowOff>
        </xdr:from>
        <xdr:to>
          <xdr:col>10</xdr:col>
          <xdr:colOff>556260</xdr:colOff>
          <xdr:row>1</xdr:row>
          <xdr:rowOff>441960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iz Quraishi" refreshedDate="45963.808176736115" createdVersion="8" refreshedVersion="8" minRefreshableVersion="3" recordCount="250" xr:uid="{156586B6-2B49-4658-B53D-7408B5C86196}">
  <cacheSource type="worksheet">
    <worksheetSource ref="A1:L251" sheet="Sales Data"/>
  </cacheSource>
  <cacheFields count="12">
    <cacheField name="Emp Code" numFmtId="0">
      <sharedItems/>
    </cacheField>
    <cacheField name="Sales Executive" numFmtId="0">
      <sharedItems count="250">
        <s v="Wesley Williams"/>
        <s v="Mary Sparks"/>
        <s v="Erin Martin"/>
        <s v="Matthew Walters"/>
        <s v="Timothy Smith"/>
        <s v="James Herrera"/>
        <s v="Erica Davis"/>
        <s v="Wanda Wood"/>
        <s v="Phillip Scott"/>
        <s v="Nathan Turner"/>
        <s v="Joseph Walker"/>
        <s v="Alan Downs"/>
        <s v="Alexis Shaw"/>
        <s v="Shelly Turner"/>
        <s v="Makayla Decker"/>
        <s v="Laura Foster"/>
        <s v="Elizabeth Greene"/>
        <s v="Brenda Summers"/>
        <s v="Melissa Hartman DDS"/>
        <s v="Anthony Silva"/>
        <s v="Anthony Davis"/>
        <s v="Patricia Henderson"/>
        <s v="Carol Reyes"/>
        <s v="Juan Steele"/>
        <s v="Aaron Lopez"/>
        <s v="Ms. Jennifer Gilbert"/>
        <s v="Ann Cox"/>
        <s v="Paul Lee"/>
        <s v="Jill Owens"/>
        <s v="William Hurley"/>
        <s v="Allison Zhang"/>
        <s v="Jonathan Nguyen"/>
        <s v="Cynthia Hill"/>
        <s v="Katie Morgan"/>
        <s v="Dennis Dixon"/>
        <s v="Brian Scott"/>
        <s v="James Petersen"/>
        <s v="Thomas Garcia"/>
        <s v="Scott Mckay"/>
        <s v="William Whitney"/>
        <s v="Heidi Anderson"/>
        <s v="Gregory Foster"/>
        <s v="Samantha Weaver"/>
        <s v="Samuel Pope"/>
        <s v="Scott Allen"/>
        <s v="Oscar Clay"/>
        <s v="Christian Lopez"/>
        <s v="Peter Kemp"/>
        <s v="David Murray"/>
        <s v="Rachel Miller"/>
        <s v="Carlos Adkins"/>
        <s v="Trevor Graham"/>
        <s v="Douglas Santos"/>
        <s v="Brittany Ferguson"/>
        <s v="April Collier"/>
        <s v="Jose Coffey"/>
        <s v="Christie Yates"/>
        <s v="Daniel Martin"/>
        <s v="Kristen Mahoney"/>
        <s v="Alvin Oliver"/>
        <s v="Crystal Petty"/>
        <s v="Kimberly Evans"/>
        <s v="Krista Marsh"/>
        <s v="Angela Hodge"/>
        <s v="Valerie Miller"/>
        <s v="Daniel Hampton"/>
        <s v="Rebecca Zimmerman"/>
        <s v="Timothy Williams"/>
        <s v="Danielle Walsh"/>
        <s v="Tracy Jones DDS"/>
        <s v="Amber Lewis"/>
        <s v="Heidi Delacruz"/>
        <s v="Timothy Adams"/>
        <s v="Cassandra Hughes"/>
        <s v="Toni Rodriguez"/>
        <s v="Edwin Russell"/>
        <s v="Mary York"/>
        <s v="Jerry Duncan"/>
        <s v="Sabrina Phillips"/>
        <s v="William Mays"/>
        <s v="Dawn Sanchez"/>
        <s v="Kim Beltran"/>
        <s v="Michael Wang"/>
        <s v="Ashley Rosario"/>
        <s v="Allison Powell"/>
        <s v="Michael Sanders"/>
        <s v="Amy Maddox"/>
        <s v="Brandon Bowman"/>
        <s v="Regina Leblanc"/>
        <s v="Charles Fischer"/>
        <s v="John Carroll"/>
        <s v="Patricia Warren"/>
        <s v="Karen Moody"/>
        <s v="Mrs. Carrie English"/>
        <s v="Andrea Cruz"/>
        <s v="Ashley Johnson"/>
        <s v="Heather Olson"/>
        <s v="David Higgins"/>
        <s v="Jean Flores"/>
        <s v="Laura Lopez"/>
        <s v="Joshua Jackson"/>
        <s v="Sharon Martinez"/>
        <s v="Travis Hinton"/>
        <s v="Michael Nguyen"/>
        <s v="Eric Bennett"/>
        <s v="Jonathan Walter"/>
        <s v="Robert Jackson"/>
        <s v="Miguel Dodson"/>
        <s v="Scott Henry"/>
        <s v="Matthew Whitney"/>
        <s v="Robert Willis"/>
        <s v="Kimberly Mooney"/>
        <s v="Kathryn Frank"/>
        <s v="Lisa Neal"/>
        <s v="David Bennett"/>
        <s v="Stefanie Walker"/>
        <s v="Linda Cox"/>
        <s v="Heather Brooks"/>
        <s v="Katrina Jones"/>
        <s v="Marc Jimenez"/>
        <s v="Timothy Gonzales"/>
        <s v="Daniel Hunt"/>
        <s v="Rebecca Ramos"/>
        <s v="Amanda Jones"/>
        <s v="Laura Schultz"/>
        <s v="Steven Campbell"/>
        <s v="Matthew Carpenter"/>
        <s v="Isaiah Rodriguez"/>
        <s v="Ashley Williams"/>
        <s v="Jamie Brown"/>
        <s v="Bryan King"/>
        <s v="Christian Wilson"/>
        <s v="Samantha Green"/>
        <s v="Laura Wallace"/>
        <s v="Lawrence Watson"/>
        <s v="Stacey Kaufman"/>
        <s v="Anthony King"/>
        <s v="Donna Morrow"/>
        <s v="Scott Salas"/>
        <s v="Jennifer Mendoza"/>
        <s v="Kelly Gonzalez"/>
        <s v="George Lyons"/>
        <s v="Ryan Charles"/>
        <s v="Eric Wall"/>
        <s v="Shannon Osborne"/>
        <s v="James Richardson"/>
        <s v="Matthew Bennett"/>
        <s v="Jennifer Stone"/>
        <s v="Jeffrey Coleman"/>
        <s v="Stephanie Taylor"/>
        <s v="Kyle Fernandez"/>
        <s v="John Johns"/>
        <s v="Kevin Buchanan"/>
        <s v="Marie Smith"/>
        <s v="Patricia Orr"/>
        <s v="Michael Garrett"/>
        <s v="Oscar Terry"/>
        <s v="Megan Fleming"/>
        <s v="Steven Jackson"/>
        <s v="Samuel Young"/>
        <s v="Michael Harris"/>
        <s v="Jeffrey Carr"/>
        <s v="Louis Brown"/>
        <s v="Michael Gordon"/>
        <s v="Ryan Hawkins"/>
        <s v="Wanda Sanchez"/>
        <s v="Michael Hall"/>
        <s v="Sandra Cantrell"/>
        <s v="William Glover"/>
        <s v="Sheila Martin"/>
        <s v="Michael Byrd"/>
        <s v="Kimberly Peterson"/>
        <s v="Angela Perez"/>
        <s v="Dustin Page"/>
        <s v="Mrs. Karen Gomez MD"/>
        <s v="Michael Price"/>
        <s v="Haley Le"/>
        <s v="Angela Williams"/>
        <s v="William Wagner"/>
        <s v="Louis Avery"/>
        <s v="Matthew Thompson"/>
        <s v="Brenda Smith"/>
        <s v="Robert Hodge"/>
        <s v="David Gomez"/>
        <s v="Edward Newton"/>
        <s v="Alicia Rivera"/>
        <s v="Crystal Bowman"/>
        <s v="Miguel Williams"/>
        <s v="Shannon Allen"/>
        <s v="Shane Payne"/>
        <s v="Brandon Brown"/>
        <s v="Anthony Smith"/>
        <s v="Jessica Hall"/>
        <s v="Kevin Jones"/>
        <s v="Kathleen Williams"/>
        <s v="Kylie Walsh"/>
        <s v="Michelle Dennis"/>
        <s v="Sheena Evans"/>
        <s v="Maria Elliott"/>
        <s v="Christopher Randall"/>
        <s v="Michael Reeves"/>
        <s v="Shane Walker"/>
        <s v="Thomas White"/>
        <s v="Angela Howard"/>
        <s v="David Martinez"/>
        <s v="Nancy Price"/>
        <s v="Kathleen Jones"/>
        <s v="Peter Anderson"/>
        <s v="Michael Clark"/>
        <s v="Kristina Shaw"/>
        <s v="Holly Stewart"/>
        <s v="Donna Foley"/>
        <s v="Courtney Montoya"/>
        <s v="Melissa Lewis"/>
        <s v="Joseph Stokes"/>
        <s v="Kurt Smith"/>
        <s v="Richard Hardy"/>
        <s v="Holly Romero"/>
        <s v="Maureen Grimes"/>
        <s v="Samuel Cortez"/>
        <s v="Frank Lopez"/>
        <s v="Mckenzie Brandt"/>
        <s v="Brandi Rios"/>
        <s v="Dana Stone"/>
        <s v="Amy Drake"/>
        <s v="Richard Durham"/>
        <s v="Valerie Simmons"/>
        <s v="Kathleen Singleton"/>
        <s v="Julia Reed"/>
        <s v="John Spencer"/>
        <s v="Bruce Wolf"/>
        <s v="Donald Lamb"/>
        <s v="Ryan Parks"/>
        <s v="Adam Carter"/>
        <s v="Jamie Richards"/>
        <s v="Dr. Elizabeth Edwards DDS"/>
        <s v="Sonya Turner"/>
        <s v="Matthew Wells"/>
        <s v="James Smith"/>
        <s v="James Kemp"/>
        <s v="John Pratt"/>
        <s v="John Burns"/>
        <s v="Jason Dixon"/>
        <s v="Nicholas Carter"/>
        <s v="Lisa Sawyer"/>
        <s v="Diana Anderson"/>
        <s v="Emily Sullivan"/>
        <s v="Alicia Johnson"/>
        <s v="Elizabeth Miller"/>
        <s v="Allison Sosa"/>
      </sharedItems>
    </cacheField>
    <cacheField name="Region" numFmtId="0">
      <sharedItems count="6">
        <s v="Kolkata"/>
        <s v="Bangalore"/>
        <s v="Hyderabad"/>
        <s v="Chennai"/>
        <s v="Mumbai"/>
        <s v="Delhi"/>
      </sharedItems>
    </cacheField>
    <cacheField name="Day1" numFmtId="0">
      <sharedItems containsSemiMixedTypes="0" containsString="0" containsNumber="1" containsInteger="1" minValue="10" maxValue="100"/>
    </cacheField>
    <cacheField name="Day2" numFmtId="0">
      <sharedItems containsSemiMixedTypes="0" containsString="0" containsNumber="1" containsInteger="1" minValue="10" maxValue="100"/>
    </cacheField>
    <cacheField name="Day3" numFmtId="0">
      <sharedItems containsSemiMixedTypes="0" containsString="0" containsNumber="1" containsInteger="1" minValue="10" maxValue="100"/>
    </cacheField>
    <cacheField name="Day4" numFmtId="0">
      <sharedItems containsSemiMixedTypes="0" containsString="0" containsNumber="1" containsInteger="1" minValue="10" maxValue="100"/>
    </cacheField>
    <cacheField name="Day5" numFmtId="0">
      <sharedItems containsSemiMixedTypes="0" containsString="0" containsNumber="1" containsInteger="1" minValue="10" maxValue="100"/>
    </cacheField>
    <cacheField name="Total Sales" numFmtId="0">
      <sharedItems containsSemiMixedTypes="0" containsString="0" containsNumber="1" containsInteger="1" minValue="106" maxValue="430"/>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1199999999999999" maxValue="0.86"/>
    </cacheField>
    <cacheField name="Away From Target %" numFmtId="10">
      <sharedItems containsSemiMixedTypes="0" containsString="0" containsNumber="1" minValue="0.14000000000000001" maxValue="0.78800000000000003"/>
    </cacheField>
  </cacheFields>
  <extLst>
    <ext xmlns:x14="http://schemas.microsoft.com/office/spreadsheetml/2009/9/main" uri="{725AE2AE-9491-48be-B2B4-4EB974FC3084}">
      <x14:pivotCacheDefinition pivotCacheId="19382986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0">
  <r>
    <s v="TCL-0001"/>
    <x v="0"/>
    <x v="0"/>
    <n v="15"/>
    <n v="41"/>
    <n v="77"/>
    <n v="63"/>
    <n v="51"/>
    <n v="247"/>
    <n v="500"/>
    <n v="0.49399999999999999"/>
    <n v="0.50600000000000001"/>
  </r>
  <r>
    <s v="TCL-0002"/>
    <x v="1"/>
    <x v="1"/>
    <n v="71"/>
    <n v="84"/>
    <n v="58"/>
    <n v="27"/>
    <n v="97"/>
    <n v="337"/>
    <n v="500"/>
    <n v="0.67400000000000004"/>
    <n v="0.32599999999999996"/>
  </r>
  <r>
    <s v="TCL-0003"/>
    <x v="2"/>
    <x v="2"/>
    <n v="27"/>
    <n v="59"/>
    <n v="74"/>
    <n v="64"/>
    <n v="34"/>
    <n v="258"/>
    <n v="500"/>
    <n v="0.51600000000000001"/>
    <n v="0.48399999999999999"/>
  </r>
  <r>
    <s v="TCL-0004"/>
    <x v="3"/>
    <x v="3"/>
    <n v="99"/>
    <n v="12"/>
    <n v="32"/>
    <n v="63"/>
    <n v="83"/>
    <n v="289"/>
    <n v="500"/>
    <n v="0.57799999999999996"/>
    <n v="0.42200000000000004"/>
  </r>
  <r>
    <s v="TCL-0005"/>
    <x v="4"/>
    <x v="4"/>
    <n v="31"/>
    <n v="29"/>
    <n v="56"/>
    <n v="34"/>
    <n v="12"/>
    <n v="162"/>
    <n v="500"/>
    <n v="0.32400000000000001"/>
    <n v="0.67599999999999993"/>
  </r>
  <r>
    <s v="TCL-0006"/>
    <x v="5"/>
    <x v="5"/>
    <n v="66"/>
    <n v="80"/>
    <n v="96"/>
    <n v="42"/>
    <n v="55"/>
    <n v="339"/>
    <n v="500"/>
    <n v="0.67800000000000005"/>
    <n v="0.32199999999999995"/>
  </r>
  <r>
    <s v="TCL-0007"/>
    <x v="6"/>
    <x v="2"/>
    <n v="56"/>
    <n v="47"/>
    <n v="16"/>
    <n v="24"/>
    <n v="94"/>
    <n v="237"/>
    <n v="500"/>
    <n v="0.47399999999999998"/>
    <n v="0.52600000000000002"/>
  </r>
  <r>
    <s v="TCL-0008"/>
    <x v="7"/>
    <x v="4"/>
    <n v="92"/>
    <n v="24"/>
    <n v="83"/>
    <n v="49"/>
    <n v="58"/>
    <n v="306"/>
    <n v="500"/>
    <n v="0.61199999999999999"/>
    <n v="0.38800000000000001"/>
  </r>
  <r>
    <s v="TCL-0009"/>
    <x v="8"/>
    <x v="4"/>
    <n v="53"/>
    <n v="33"/>
    <n v="83"/>
    <n v="19"/>
    <n v="88"/>
    <n v="276"/>
    <n v="500"/>
    <n v="0.55200000000000005"/>
    <n v="0.44799999999999995"/>
  </r>
  <r>
    <s v="TCL-0010"/>
    <x v="9"/>
    <x v="3"/>
    <n v="79"/>
    <n v="74"/>
    <n v="27"/>
    <n v="71"/>
    <n v="39"/>
    <n v="290"/>
    <n v="500"/>
    <n v="0.57999999999999996"/>
    <n v="0.42000000000000004"/>
  </r>
  <r>
    <s v="TCL-0011"/>
    <x v="10"/>
    <x v="0"/>
    <n v="55"/>
    <n v="47"/>
    <n v="21"/>
    <n v="79"/>
    <n v="90"/>
    <n v="292"/>
    <n v="500"/>
    <n v="0.58399999999999996"/>
    <n v="0.41600000000000004"/>
  </r>
  <r>
    <s v="TCL-0012"/>
    <x v="11"/>
    <x v="3"/>
    <n v="58"/>
    <n v="76"/>
    <n v="75"/>
    <n v="63"/>
    <n v="87"/>
    <n v="359"/>
    <n v="500"/>
    <n v="0.71799999999999997"/>
    <n v="0.28200000000000003"/>
  </r>
  <r>
    <s v="TCL-0013"/>
    <x v="12"/>
    <x v="5"/>
    <n v="72"/>
    <n v="34"/>
    <n v="58"/>
    <n v="43"/>
    <n v="59"/>
    <n v="266"/>
    <n v="500"/>
    <n v="0.53200000000000003"/>
    <n v="0.46799999999999997"/>
  </r>
  <r>
    <s v="TCL-0014"/>
    <x v="13"/>
    <x v="1"/>
    <n v="66"/>
    <n v="37"/>
    <n v="10"/>
    <n v="98"/>
    <n v="42"/>
    <n v="253"/>
    <n v="500"/>
    <n v="0.50600000000000001"/>
    <n v="0.49399999999999999"/>
  </r>
  <r>
    <s v="TCL-0015"/>
    <x v="14"/>
    <x v="3"/>
    <n v="69"/>
    <n v="98"/>
    <n v="30"/>
    <n v="13"/>
    <n v="83"/>
    <n v="293"/>
    <n v="500"/>
    <n v="0.58599999999999997"/>
    <n v="0.41400000000000003"/>
  </r>
  <r>
    <s v="TCL-0016"/>
    <x v="15"/>
    <x v="3"/>
    <n v="87"/>
    <n v="87"/>
    <n v="49"/>
    <n v="85"/>
    <n v="49"/>
    <n v="357"/>
    <n v="500"/>
    <n v="0.71399999999999997"/>
    <n v="0.28600000000000003"/>
  </r>
  <r>
    <s v="TCL-0017"/>
    <x v="16"/>
    <x v="1"/>
    <n v="89"/>
    <n v="87"/>
    <n v="48"/>
    <n v="35"/>
    <n v="31"/>
    <n v="290"/>
    <n v="500"/>
    <n v="0.57999999999999996"/>
    <n v="0.42000000000000004"/>
  </r>
  <r>
    <s v="TCL-0018"/>
    <x v="17"/>
    <x v="2"/>
    <n v="11"/>
    <n v="100"/>
    <n v="22"/>
    <n v="17"/>
    <n v="31"/>
    <n v="181"/>
    <n v="500"/>
    <n v="0.36199999999999999"/>
    <n v="0.63800000000000001"/>
  </r>
  <r>
    <s v="TCL-0019"/>
    <x v="18"/>
    <x v="1"/>
    <n v="19"/>
    <n v="90"/>
    <n v="66"/>
    <n v="91"/>
    <n v="58"/>
    <n v="324"/>
    <n v="500"/>
    <n v="0.64800000000000002"/>
    <n v="0.35199999999999998"/>
  </r>
  <r>
    <s v="TCL-0020"/>
    <x v="19"/>
    <x v="5"/>
    <n v="37"/>
    <n v="91"/>
    <n v="93"/>
    <n v="48"/>
    <n v="11"/>
    <n v="280"/>
    <n v="500"/>
    <n v="0.56000000000000005"/>
    <n v="0.43999999999999995"/>
  </r>
  <r>
    <s v="TCL-0021"/>
    <x v="20"/>
    <x v="5"/>
    <n v="34"/>
    <n v="100"/>
    <n v="72"/>
    <n v="81"/>
    <n v="69"/>
    <n v="356"/>
    <n v="500"/>
    <n v="0.71199999999999997"/>
    <n v="0.28800000000000003"/>
  </r>
  <r>
    <s v="TCL-0022"/>
    <x v="21"/>
    <x v="3"/>
    <n v="10"/>
    <n v="28"/>
    <n v="81"/>
    <n v="80"/>
    <n v="51"/>
    <n v="250"/>
    <n v="500"/>
    <n v="0.5"/>
    <n v="0.5"/>
  </r>
  <r>
    <s v="TCL-0023"/>
    <x v="22"/>
    <x v="4"/>
    <n v="86"/>
    <n v="92"/>
    <n v="37"/>
    <n v="19"/>
    <n v="82"/>
    <n v="316"/>
    <n v="500"/>
    <n v="0.63200000000000001"/>
    <n v="0.36799999999999999"/>
  </r>
  <r>
    <s v="TCL-0024"/>
    <x v="23"/>
    <x v="1"/>
    <n v="49"/>
    <n v="32"/>
    <n v="70"/>
    <n v="11"/>
    <n v="91"/>
    <n v="253"/>
    <n v="500"/>
    <n v="0.50600000000000001"/>
    <n v="0.49399999999999999"/>
  </r>
  <r>
    <s v="TCL-0025"/>
    <x v="24"/>
    <x v="4"/>
    <n v="99"/>
    <n v="14"/>
    <n v="36"/>
    <n v="94"/>
    <n v="86"/>
    <n v="329"/>
    <n v="500"/>
    <n v="0.65800000000000003"/>
    <n v="0.34199999999999997"/>
  </r>
  <r>
    <s v="TCL-0026"/>
    <x v="25"/>
    <x v="4"/>
    <n v="65"/>
    <n v="57"/>
    <n v="98"/>
    <n v="67"/>
    <n v="48"/>
    <n v="335"/>
    <n v="500"/>
    <n v="0.67"/>
    <n v="0.32999999999999996"/>
  </r>
  <r>
    <s v="TCL-0027"/>
    <x v="26"/>
    <x v="0"/>
    <n v="93"/>
    <n v="74"/>
    <n v="87"/>
    <n v="30"/>
    <n v="89"/>
    <n v="373"/>
    <n v="500"/>
    <n v="0.746"/>
    <n v="0.254"/>
  </r>
  <r>
    <s v="TCL-0028"/>
    <x v="27"/>
    <x v="2"/>
    <n v="89"/>
    <n v="97"/>
    <n v="33"/>
    <n v="75"/>
    <n v="30"/>
    <n v="324"/>
    <n v="500"/>
    <n v="0.64800000000000002"/>
    <n v="0.35199999999999998"/>
  </r>
  <r>
    <s v="TCL-0029"/>
    <x v="28"/>
    <x v="0"/>
    <n v="36"/>
    <n v="56"/>
    <n v="49"/>
    <n v="45"/>
    <n v="29"/>
    <n v="215"/>
    <n v="500"/>
    <n v="0.43"/>
    <n v="0.57000000000000006"/>
  </r>
  <r>
    <s v="TCL-0030"/>
    <x v="29"/>
    <x v="3"/>
    <n v="68"/>
    <n v="40"/>
    <n v="70"/>
    <n v="39"/>
    <n v="80"/>
    <n v="297"/>
    <n v="500"/>
    <n v="0.59399999999999997"/>
    <n v="0.40600000000000003"/>
  </r>
  <r>
    <s v="TCL-0031"/>
    <x v="30"/>
    <x v="4"/>
    <n v="46"/>
    <n v="56"/>
    <n v="53"/>
    <n v="69"/>
    <n v="28"/>
    <n v="252"/>
    <n v="500"/>
    <n v="0.504"/>
    <n v="0.496"/>
  </r>
  <r>
    <s v="TCL-0032"/>
    <x v="31"/>
    <x v="2"/>
    <n v="36"/>
    <n v="44"/>
    <n v="75"/>
    <n v="15"/>
    <n v="10"/>
    <n v="180"/>
    <n v="500"/>
    <n v="0.36"/>
    <n v="0.64"/>
  </r>
  <r>
    <s v="TCL-0033"/>
    <x v="32"/>
    <x v="0"/>
    <n v="76"/>
    <n v="94"/>
    <n v="28"/>
    <n v="37"/>
    <n v="89"/>
    <n v="324"/>
    <n v="500"/>
    <n v="0.64800000000000002"/>
    <n v="0.35199999999999998"/>
  </r>
  <r>
    <s v="TCL-0034"/>
    <x v="33"/>
    <x v="4"/>
    <n v="99"/>
    <n v="20"/>
    <n v="93"/>
    <n v="32"/>
    <n v="98"/>
    <n v="342"/>
    <n v="500"/>
    <n v="0.68400000000000005"/>
    <n v="0.31599999999999995"/>
  </r>
  <r>
    <s v="TCL-0035"/>
    <x v="34"/>
    <x v="1"/>
    <n v="29"/>
    <n v="16"/>
    <n v="58"/>
    <n v="84"/>
    <n v="70"/>
    <n v="257"/>
    <n v="500"/>
    <n v="0.51400000000000001"/>
    <n v="0.48599999999999999"/>
  </r>
  <r>
    <s v="TCL-0036"/>
    <x v="35"/>
    <x v="2"/>
    <n v="90"/>
    <n v="30"/>
    <n v="82"/>
    <n v="49"/>
    <n v="14"/>
    <n v="265"/>
    <n v="500"/>
    <n v="0.53"/>
    <n v="0.47"/>
  </r>
  <r>
    <s v="TCL-0037"/>
    <x v="36"/>
    <x v="3"/>
    <n v="67"/>
    <n v="63"/>
    <n v="19"/>
    <n v="71"/>
    <n v="41"/>
    <n v="261"/>
    <n v="500"/>
    <n v="0.52200000000000002"/>
    <n v="0.47799999999999998"/>
  </r>
  <r>
    <s v="TCL-0038"/>
    <x v="37"/>
    <x v="4"/>
    <n v="86"/>
    <n v="19"/>
    <n v="51"/>
    <n v="16"/>
    <n v="27"/>
    <n v="199"/>
    <n v="500"/>
    <n v="0.39800000000000002"/>
    <n v="0.60199999999999998"/>
  </r>
  <r>
    <s v="TCL-0039"/>
    <x v="38"/>
    <x v="2"/>
    <n v="64"/>
    <n v="77"/>
    <n v="51"/>
    <n v="60"/>
    <n v="77"/>
    <n v="329"/>
    <n v="500"/>
    <n v="0.65800000000000003"/>
    <n v="0.34199999999999997"/>
  </r>
  <r>
    <s v="TCL-0040"/>
    <x v="39"/>
    <x v="2"/>
    <n v="22"/>
    <n v="92"/>
    <n v="39"/>
    <n v="28"/>
    <n v="99"/>
    <n v="280"/>
    <n v="500"/>
    <n v="0.56000000000000005"/>
    <n v="0.43999999999999995"/>
  </r>
  <r>
    <s v="TCL-0041"/>
    <x v="40"/>
    <x v="2"/>
    <n v="59"/>
    <n v="78"/>
    <n v="13"/>
    <n v="26"/>
    <n v="41"/>
    <n v="217"/>
    <n v="500"/>
    <n v="0.434"/>
    <n v="0.56600000000000006"/>
  </r>
  <r>
    <s v="TCL-0042"/>
    <x v="41"/>
    <x v="3"/>
    <n v="96"/>
    <n v="86"/>
    <n v="16"/>
    <n v="82"/>
    <n v="25"/>
    <n v="305"/>
    <n v="500"/>
    <n v="0.61"/>
    <n v="0.39"/>
  </r>
  <r>
    <s v="TCL-0043"/>
    <x v="42"/>
    <x v="3"/>
    <n v="99"/>
    <n v="24"/>
    <n v="50"/>
    <n v="36"/>
    <n v="68"/>
    <n v="277"/>
    <n v="500"/>
    <n v="0.55400000000000005"/>
    <n v="0.44599999999999995"/>
  </r>
  <r>
    <s v="TCL-0044"/>
    <x v="43"/>
    <x v="1"/>
    <n v="90"/>
    <n v="99"/>
    <n v="55"/>
    <n v="47"/>
    <n v="42"/>
    <n v="333"/>
    <n v="500"/>
    <n v="0.66600000000000004"/>
    <n v="0.33399999999999996"/>
  </r>
  <r>
    <s v="TCL-0045"/>
    <x v="44"/>
    <x v="2"/>
    <n v="66"/>
    <n v="41"/>
    <n v="45"/>
    <n v="54"/>
    <n v="74"/>
    <n v="280"/>
    <n v="500"/>
    <n v="0.56000000000000005"/>
    <n v="0.43999999999999995"/>
  </r>
  <r>
    <s v="TCL-0046"/>
    <x v="45"/>
    <x v="4"/>
    <n v="73"/>
    <n v="71"/>
    <n v="17"/>
    <n v="99"/>
    <n v="98"/>
    <n v="358"/>
    <n v="500"/>
    <n v="0.71599999999999997"/>
    <n v="0.28400000000000003"/>
  </r>
  <r>
    <s v="TCL-0047"/>
    <x v="46"/>
    <x v="1"/>
    <n v="30"/>
    <n v="42"/>
    <n v="81"/>
    <n v="69"/>
    <n v="91"/>
    <n v="313"/>
    <n v="500"/>
    <n v="0.626"/>
    <n v="0.374"/>
  </r>
  <r>
    <s v="TCL-0048"/>
    <x v="47"/>
    <x v="1"/>
    <n v="19"/>
    <n v="42"/>
    <n v="73"/>
    <n v="52"/>
    <n v="57"/>
    <n v="243"/>
    <n v="500"/>
    <n v="0.48599999999999999"/>
    <n v="0.51400000000000001"/>
  </r>
  <r>
    <s v="TCL-0049"/>
    <x v="48"/>
    <x v="4"/>
    <n v="53"/>
    <n v="36"/>
    <n v="10"/>
    <n v="24"/>
    <n v="39"/>
    <n v="162"/>
    <n v="500"/>
    <n v="0.32400000000000001"/>
    <n v="0.67599999999999993"/>
  </r>
  <r>
    <s v="TCL-0050"/>
    <x v="49"/>
    <x v="1"/>
    <n v="59"/>
    <n v="83"/>
    <n v="49"/>
    <n v="67"/>
    <n v="46"/>
    <n v="304"/>
    <n v="500"/>
    <n v="0.60799999999999998"/>
    <n v="0.39200000000000002"/>
  </r>
  <r>
    <s v="TCL-0051"/>
    <x v="50"/>
    <x v="4"/>
    <n v="68"/>
    <n v="61"/>
    <n v="42"/>
    <n v="64"/>
    <n v="10"/>
    <n v="245"/>
    <n v="500"/>
    <n v="0.49"/>
    <n v="0.51"/>
  </r>
  <r>
    <s v="TCL-0052"/>
    <x v="51"/>
    <x v="2"/>
    <n v="72"/>
    <n v="30"/>
    <n v="86"/>
    <n v="93"/>
    <n v="68"/>
    <n v="349"/>
    <n v="500"/>
    <n v="0.69799999999999995"/>
    <n v="0.30200000000000005"/>
  </r>
  <r>
    <s v="TCL-0053"/>
    <x v="52"/>
    <x v="1"/>
    <n v="97"/>
    <n v="80"/>
    <n v="66"/>
    <n v="71"/>
    <n v="87"/>
    <n v="401"/>
    <n v="500"/>
    <n v="0.80200000000000005"/>
    <n v="0.19799999999999995"/>
  </r>
  <r>
    <s v="TCL-0054"/>
    <x v="53"/>
    <x v="1"/>
    <n v="99"/>
    <n v="95"/>
    <n v="35"/>
    <n v="50"/>
    <n v="30"/>
    <n v="309"/>
    <n v="500"/>
    <n v="0.61799999999999999"/>
    <n v="0.38200000000000001"/>
  </r>
  <r>
    <s v="TCL-0055"/>
    <x v="54"/>
    <x v="2"/>
    <n v="41"/>
    <n v="98"/>
    <n v="69"/>
    <n v="22"/>
    <n v="19"/>
    <n v="249"/>
    <n v="500"/>
    <n v="0.498"/>
    <n v="0.502"/>
  </r>
  <r>
    <s v="TCL-0056"/>
    <x v="55"/>
    <x v="2"/>
    <n v="44"/>
    <n v="73"/>
    <n v="64"/>
    <n v="87"/>
    <n v="82"/>
    <n v="350"/>
    <n v="500"/>
    <n v="0.7"/>
    <n v="0.30000000000000004"/>
  </r>
  <r>
    <s v="TCL-0057"/>
    <x v="56"/>
    <x v="4"/>
    <n v="35"/>
    <n v="70"/>
    <n v="33"/>
    <n v="21"/>
    <n v="97"/>
    <n v="256"/>
    <n v="500"/>
    <n v="0.51200000000000001"/>
    <n v="0.48799999999999999"/>
  </r>
  <r>
    <s v="TCL-0058"/>
    <x v="57"/>
    <x v="1"/>
    <n v="57"/>
    <n v="53"/>
    <n v="11"/>
    <n v="98"/>
    <n v="92"/>
    <n v="311"/>
    <n v="500"/>
    <n v="0.622"/>
    <n v="0.378"/>
  </r>
  <r>
    <s v="TCL-0059"/>
    <x v="58"/>
    <x v="0"/>
    <n v="49"/>
    <n v="47"/>
    <n v="54"/>
    <n v="31"/>
    <n v="25"/>
    <n v="206"/>
    <n v="500"/>
    <n v="0.41199999999999998"/>
    <n v="0.58800000000000008"/>
  </r>
  <r>
    <s v="TCL-0060"/>
    <x v="59"/>
    <x v="0"/>
    <n v="75"/>
    <n v="81"/>
    <n v="79"/>
    <n v="91"/>
    <n v="91"/>
    <n v="417"/>
    <n v="500"/>
    <n v="0.83399999999999996"/>
    <n v="0.16600000000000004"/>
  </r>
  <r>
    <s v="TCL-0061"/>
    <x v="60"/>
    <x v="4"/>
    <n v="74"/>
    <n v="17"/>
    <n v="48"/>
    <n v="48"/>
    <n v="84"/>
    <n v="271"/>
    <n v="500"/>
    <n v="0.54200000000000004"/>
    <n v="0.45799999999999996"/>
  </r>
  <r>
    <s v="TCL-0062"/>
    <x v="61"/>
    <x v="1"/>
    <n v="47"/>
    <n v="94"/>
    <n v="73"/>
    <n v="77"/>
    <n v="23"/>
    <n v="314"/>
    <n v="500"/>
    <n v="0.628"/>
    <n v="0.372"/>
  </r>
  <r>
    <s v="TCL-0063"/>
    <x v="62"/>
    <x v="0"/>
    <n v="68"/>
    <n v="61"/>
    <n v="86"/>
    <n v="34"/>
    <n v="94"/>
    <n v="343"/>
    <n v="500"/>
    <n v="0.68600000000000005"/>
    <n v="0.31399999999999995"/>
  </r>
  <r>
    <s v="TCL-0064"/>
    <x v="63"/>
    <x v="3"/>
    <n v="42"/>
    <n v="100"/>
    <n v="77"/>
    <n v="77"/>
    <n v="97"/>
    <n v="393"/>
    <n v="500"/>
    <n v="0.78600000000000003"/>
    <n v="0.21399999999999997"/>
  </r>
  <r>
    <s v="TCL-0065"/>
    <x v="64"/>
    <x v="3"/>
    <n v="61"/>
    <n v="71"/>
    <n v="51"/>
    <n v="13"/>
    <n v="93"/>
    <n v="289"/>
    <n v="500"/>
    <n v="0.57799999999999996"/>
    <n v="0.42200000000000004"/>
  </r>
  <r>
    <s v="TCL-0066"/>
    <x v="65"/>
    <x v="4"/>
    <n v="48"/>
    <n v="44"/>
    <n v="76"/>
    <n v="28"/>
    <n v="12"/>
    <n v="208"/>
    <n v="500"/>
    <n v="0.41599999999999998"/>
    <n v="0.58400000000000007"/>
  </r>
  <r>
    <s v="TCL-0067"/>
    <x v="66"/>
    <x v="4"/>
    <n v="43"/>
    <n v="32"/>
    <n v="52"/>
    <n v="30"/>
    <n v="23"/>
    <n v="180"/>
    <n v="500"/>
    <n v="0.36"/>
    <n v="0.64"/>
  </r>
  <r>
    <s v="TCL-0068"/>
    <x v="67"/>
    <x v="2"/>
    <n v="74"/>
    <n v="100"/>
    <n v="57"/>
    <n v="70"/>
    <n v="87"/>
    <n v="388"/>
    <n v="500"/>
    <n v="0.77600000000000002"/>
    <n v="0.22399999999999998"/>
  </r>
  <r>
    <s v="TCL-0069"/>
    <x v="68"/>
    <x v="5"/>
    <n v="28"/>
    <n v="80"/>
    <n v="52"/>
    <n v="89"/>
    <n v="67"/>
    <n v="316"/>
    <n v="500"/>
    <n v="0.63200000000000001"/>
    <n v="0.36799999999999999"/>
  </r>
  <r>
    <s v="TCL-0070"/>
    <x v="69"/>
    <x v="4"/>
    <n v="18"/>
    <n v="52"/>
    <n v="75"/>
    <n v="84"/>
    <n v="42"/>
    <n v="271"/>
    <n v="500"/>
    <n v="0.54200000000000004"/>
    <n v="0.45799999999999996"/>
  </r>
  <r>
    <s v="TCL-0071"/>
    <x v="70"/>
    <x v="4"/>
    <n v="86"/>
    <n v="61"/>
    <n v="94"/>
    <n v="60"/>
    <n v="60"/>
    <n v="361"/>
    <n v="500"/>
    <n v="0.72199999999999998"/>
    <n v="0.27800000000000002"/>
  </r>
  <r>
    <s v="TCL-0072"/>
    <x v="71"/>
    <x v="5"/>
    <n v="43"/>
    <n v="81"/>
    <n v="25"/>
    <n v="100"/>
    <n v="35"/>
    <n v="284"/>
    <n v="500"/>
    <n v="0.56799999999999995"/>
    <n v="0.43200000000000005"/>
  </r>
  <r>
    <s v="TCL-0073"/>
    <x v="72"/>
    <x v="5"/>
    <n v="13"/>
    <n v="96"/>
    <n v="28"/>
    <n v="87"/>
    <n v="34"/>
    <n v="258"/>
    <n v="500"/>
    <n v="0.51600000000000001"/>
    <n v="0.48399999999999999"/>
  </r>
  <r>
    <s v="TCL-0074"/>
    <x v="73"/>
    <x v="1"/>
    <n v="80"/>
    <n v="33"/>
    <n v="66"/>
    <n v="94"/>
    <n v="64"/>
    <n v="337"/>
    <n v="500"/>
    <n v="0.67400000000000004"/>
    <n v="0.32599999999999996"/>
  </r>
  <r>
    <s v="TCL-0075"/>
    <x v="74"/>
    <x v="5"/>
    <n v="46"/>
    <n v="16"/>
    <n v="100"/>
    <n v="87"/>
    <n v="67"/>
    <n v="316"/>
    <n v="500"/>
    <n v="0.63200000000000001"/>
    <n v="0.36799999999999999"/>
  </r>
  <r>
    <s v="TCL-0076"/>
    <x v="75"/>
    <x v="4"/>
    <n v="21"/>
    <n v="79"/>
    <n v="80"/>
    <n v="90"/>
    <n v="33"/>
    <n v="303"/>
    <n v="500"/>
    <n v="0.60599999999999998"/>
    <n v="0.39400000000000002"/>
  </r>
  <r>
    <s v="TCL-0077"/>
    <x v="76"/>
    <x v="4"/>
    <n v="55"/>
    <n v="66"/>
    <n v="16"/>
    <n v="25"/>
    <n v="76"/>
    <n v="238"/>
    <n v="500"/>
    <n v="0.47599999999999998"/>
    <n v="0.52400000000000002"/>
  </r>
  <r>
    <s v="TCL-0078"/>
    <x v="77"/>
    <x v="3"/>
    <n v="87"/>
    <n v="98"/>
    <n v="95"/>
    <n v="66"/>
    <n v="67"/>
    <n v="413"/>
    <n v="500"/>
    <n v="0.82599999999999996"/>
    <n v="0.17400000000000004"/>
  </r>
  <r>
    <s v="TCL-0079"/>
    <x v="78"/>
    <x v="4"/>
    <n v="64"/>
    <n v="88"/>
    <n v="45"/>
    <n v="15"/>
    <n v="20"/>
    <n v="232"/>
    <n v="500"/>
    <n v="0.46400000000000002"/>
    <n v="0.53600000000000003"/>
  </r>
  <r>
    <s v="TCL-0080"/>
    <x v="79"/>
    <x v="3"/>
    <n v="91"/>
    <n v="91"/>
    <n v="31"/>
    <n v="70"/>
    <n v="38"/>
    <n v="321"/>
    <n v="500"/>
    <n v="0.64200000000000002"/>
    <n v="0.35799999999999998"/>
  </r>
  <r>
    <s v="TCL-0081"/>
    <x v="80"/>
    <x v="0"/>
    <n v="34"/>
    <n v="14"/>
    <n v="98"/>
    <n v="53"/>
    <n v="77"/>
    <n v="276"/>
    <n v="500"/>
    <n v="0.55200000000000005"/>
    <n v="0.44799999999999995"/>
  </r>
  <r>
    <s v="TCL-0082"/>
    <x v="81"/>
    <x v="5"/>
    <n v="53"/>
    <n v="98"/>
    <n v="12"/>
    <n v="90"/>
    <n v="66"/>
    <n v="319"/>
    <n v="500"/>
    <n v="0.63800000000000001"/>
    <n v="0.36199999999999999"/>
  </r>
  <r>
    <s v="TCL-0083"/>
    <x v="82"/>
    <x v="1"/>
    <n v="51"/>
    <n v="73"/>
    <n v="42"/>
    <n v="31"/>
    <n v="72"/>
    <n v="269"/>
    <n v="500"/>
    <n v="0.53800000000000003"/>
    <n v="0.46199999999999997"/>
  </r>
  <r>
    <s v="TCL-0084"/>
    <x v="83"/>
    <x v="5"/>
    <n v="24"/>
    <n v="39"/>
    <n v="21"/>
    <n v="69"/>
    <n v="83"/>
    <n v="236"/>
    <n v="500"/>
    <n v="0.47199999999999998"/>
    <n v="0.52800000000000002"/>
  </r>
  <r>
    <s v="TCL-0085"/>
    <x v="84"/>
    <x v="4"/>
    <n v="60"/>
    <n v="64"/>
    <n v="50"/>
    <n v="100"/>
    <n v="44"/>
    <n v="318"/>
    <n v="500"/>
    <n v="0.63600000000000001"/>
    <n v="0.36399999999999999"/>
  </r>
  <r>
    <s v="TCL-0086"/>
    <x v="85"/>
    <x v="0"/>
    <n v="93"/>
    <n v="61"/>
    <n v="18"/>
    <n v="24"/>
    <n v="19"/>
    <n v="215"/>
    <n v="500"/>
    <n v="0.43"/>
    <n v="0.57000000000000006"/>
  </r>
  <r>
    <s v="TCL-0087"/>
    <x v="86"/>
    <x v="4"/>
    <n v="48"/>
    <n v="28"/>
    <n v="23"/>
    <n v="31"/>
    <n v="12"/>
    <n v="142"/>
    <n v="500"/>
    <n v="0.28399999999999997"/>
    <n v="0.71599999999999997"/>
  </r>
  <r>
    <s v="TCL-0088"/>
    <x v="87"/>
    <x v="0"/>
    <n v="11"/>
    <n v="86"/>
    <n v="65"/>
    <n v="53"/>
    <n v="56"/>
    <n v="271"/>
    <n v="500"/>
    <n v="0.54200000000000004"/>
    <n v="0.45799999999999996"/>
  </r>
  <r>
    <s v="TCL-0089"/>
    <x v="88"/>
    <x v="1"/>
    <n v="90"/>
    <n v="36"/>
    <n v="49"/>
    <n v="57"/>
    <n v="72"/>
    <n v="304"/>
    <n v="500"/>
    <n v="0.60799999999999998"/>
    <n v="0.39200000000000002"/>
  </r>
  <r>
    <s v="TCL-0090"/>
    <x v="89"/>
    <x v="4"/>
    <n v="47"/>
    <n v="58"/>
    <n v="41"/>
    <n v="81"/>
    <n v="41"/>
    <n v="268"/>
    <n v="500"/>
    <n v="0.53600000000000003"/>
    <n v="0.46399999999999997"/>
  </r>
  <r>
    <s v="TCL-0091"/>
    <x v="90"/>
    <x v="0"/>
    <n v="99"/>
    <n v="79"/>
    <n v="94"/>
    <n v="44"/>
    <n v="52"/>
    <n v="368"/>
    <n v="500"/>
    <n v="0.73599999999999999"/>
    <n v="0.26400000000000001"/>
  </r>
  <r>
    <s v="TCL-0092"/>
    <x v="91"/>
    <x v="1"/>
    <n v="40"/>
    <n v="41"/>
    <n v="94"/>
    <n v="12"/>
    <n v="92"/>
    <n v="279"/>
    <n v="500"/>
    <n v="0.55800000000000005"/>
    <n v="0.44199999999999995"/>
  </r>
  <r>
    <s v="TCL-0093"/>
    <x v="92"/>
    <x v="5"/>
    <n v="21"/>
    <n v="19"/>
    <n v="76"/>
    <n v="82"/>
    <n v="27"/>
    <n v="225"/>
    <n v="500"/>
    <n v="0.45"/>
    <n v="0.55000000000000004"/>
  </r>
  <r>
    <s v="TCL-0094"/>
    <x v="93"/>
    <x v="3"/>
    <n v="34"/>
    <n v="22"/>
    <n v="68"/>
    <n v="32"/>
    <n v="84"/>
    <n v="240"/>
    <n v="500"/>
    <n v="0.48"/>
    <n v="0.52"/>
  </r>
  <r>
    <s v="TCL-0095"/>
    <x v="94"/>
    <x v="4"/>
    <n v="38"/>
    <n v="72"/>
    <n v="69"/>
    <n v="72"/>
    <n v="31"/>
    <n v="282"/>
    <n v="500"/>
    <n v="0.56399999999999995"/>
    <n v="0.43600000000000005"/>
  </r>
  <r>
    <s v="TCL-0096"/>
    <x v="95"/>
    <x v="0"/>
    <n v="14"/>
    <n v="36"/>
    <n v="22"/>
    <n v="52"/>
    <n v="42"/>
    <n v="166"/>
    <n v="500"/>
    <n v="0.33200000000000002"/>
    <n v="0.66799999999999993"/>
  </r>
  <r>
    <s v="TCL-0097"/>
    <x v="96"/>
    <x v="4"/>
    <n v="25"/>
    <n v="11"/>
    <n v="30"/>
    <n v="11"/>
    <n v="49"/>
    <n v="126"/>
    <n v="500"/>
    <n v="0.252"/>
    <n v="0.748"/>
  </r>
  <r>
    <s v="TCL-0098"/>
    <x v="97"/>
    <x v="1"/>
    <n v="91"/>
    <n v="70"/>
    <n v="20"/>
    <n v="33"/>
    <n v="28"/>
    <n v="242"/>
    <n v="500"/>
    <n v="0.48399999999999999"/>
    <n v="0.51600000000000001"/>
  </r>
  <r>
    <s v="TCL-0099"/>
    <x v="98"/>
    <x v="2"/>
    <n v="84"/>
    <n v="26"/>
    <n v="28"/>
    <n v="51"/>
    <n v="46"/>
    <n v="235"/>
    <n v="500"/>
    <n v="0.47"/>
    <n v="0.53"/>
  </r>
  <r>
    <s v="TCL-0100"/>
    <x v="99"/>
    <x v="1"/>
    <n v="68"/>
    <n v="30"/>
    <n v="16"/>
    <n v="27"/>
    <n v="84"/>
    <n v="225"/>
    <n v="500"/>
    <n v="0.45"/>
    <n v="0.55000000000000004"/>
  </r>
  <r>
    <s v="TCL-0101"/>
    <x v="100"/>
    <x v="1"/>
    <n v="13"/>
    <n v="20"/>
    <n v="53"/>
    <n v="20"/>
    <n v="95"/>
    <n v="201"/>
    <n v="500"/>
    <n v="0.40200000000000002"/>
    <n v="0.59799999999999998"/>
  </r>
  <r>
    <s v="TCL-0102"/>
    <x v="101"/>
    <x v="4"/>
    <n v="24"/>
    <n v="30"/>
    <n v="73"/>
    <n v="63"/>
    <n v="71"/>
    <n v="261"/>
    <n v="500"/>
    <n v="0.52200000000000002"/>
    <n v="0.47799999999999998"/>
  </r>
  <r>
    <s v="TCL-0103"/>
    <x v="102"/>
    <x v="1"/>
    <n v="82"/>
    <n v="41"/>
    <n v="12"/>
    <n v="61"/>
    <n v="46"/>
    <n v="242"/>
    <n v="500"/>
    <n v="0.48399999999999999"/>
    <n v="0.51600000000000001"/>
  </r>
  <r>
    <s v="TCL-0104"/>
    <x v="103"/>
    <x v="2"/>
    <n v="78"/>
    <n v="91"/>
    <n v="26"/>
    <n v="92"/>
    <n v="94"/>
    <n v="381"/>
    <n v="500"/>
    <n v="0.76200000000000001"/>
    <n v="0.23799999999999999"/>
  </r>
  <r>
    <s v="TCL-0105"/>
    <x v="104"/>
    <x v="4"/>
    <n v="81"/>
    <n v="41"/>
    <n v="89"/>
    <n v="28"/>
    <n v="38"/>
    <n v="277"/>
    <n v="500"/>
    <n v="0.55400000000000005"/>
    <n v="0.44599999999999995"/>
  </r>
  <r>
    <s v="TCL-0106"/>
    <x v="105"/>
    <x v="1"/>
    <n v="58"/>
    <n v="35"/>
    <n v="37"/>
    <n v="89"/>
    <n v="22"/>
    <n v="241"/>
    <n v="500"/>
    <n v="0.48199999999999998"/>
    <n v="0.51800000000000002"/>
  </r>
  <r>
    <s v="TCL-0107"/>
    <x v="106"/>
    <x v="0"/>
    <n v="83"/>
    <n v="35"/>
    <n v="49"/>
    <n v="44"/>
    <n v="79"/>
    <n v="290"/>
    <n v="500"/>
    <n v="0.57999999999999996"/>
    <n v="0.42000000000000004"/>
  </r>
  <r>
    <s v="TCL-0108"/>
    <x v="107"/>
    <x v="2"/>
    <n v="35"/>
    <n v="92"/>
    <n v="83"/>
    <n v="11"/>
    <n v="98"/>
    <n v="319"/>
    <n v="500"/>
    <n v="0.63800000000000001"/>
    <n v="0.36199999999999999"/>
  </r>
  <r>
    <s v="TCL-0109"/>
    <x v="108"/>
    <x v="2"/>
    <n v="46"/>
    <n v="56"/>
    <n v="14"/>
    <n v="78"/>
    <n v="25"/>
    <n v="219"/>
    <n v="500"/>
    <n v="0.438"/>
    <n v="0.56200000000000006"/>
  </r>
  <r>
    <s v="TCL-0110"/>
    <x v="109"/>
    <x v="3"/>
    <n v="76"/>
    <n v="34"/>
    <n v="11"/>
    <n v="91"/>
    <n v="99"/>
    <n v="311"/>
    <n v="500"/>
    <n v="0.622"/>
    <n v="0.378"/>
  </r>
  <r>
    <s v="TCL-0111"/>
    <x v="110"/>
    <x v="4"/>
    <n v="98"/>
    <n v="56"/>
    <n v="94"/>
    <n v="14"/>
    <n v="77"/>
    <n v="339"/>
    <n v="500"/>
    <n v="0.67800000000000005"/>
    <n v="0.32199999999999995"/>
  </r>
  <r>
    <s v="TCL-0112"/>
    <x v="111"/>
    <x v="4"/>
    <n v="22"/>
    <n v="64"/>
    <n v="76"/>
    <n v="79"/>
    <n v="61"/>
    <n v="302"/>
    <n v="500"/>
    <n v="0.60399999999999998"/>
    <n v="0.39600000000000002"/>
  </r>
  <r>
    <s v="TCL-0113"/>
    <x v="112"/>
    <x v="3"/>
    <n v="60"/>
    <n v="100"/>
    <n v="74"/>
    <n v="93"/>
    <n v="94"/>
    <n v="421"/>
    <n v="500"/>
    <n v="0.84199999999999997"/>
    <n v="0.15800000000000003"/>
  </r>
  <r>
    <s v="TCL-0114"/>
    <x v="113"/>
    <x v="0"/>
    <n v="77"/>
    <n v="15"/>
    <n v="45"/>
    <n v="85"/>
    <n v="95"/>
    <n v="317"/>
    <n v="500"/>
    <n v="0.63400000000000001"/>
    <n v="0.36599999999999999"/>
  </r>
  <r>
    <s v="TCL-0115"/>
    <x v="114"/>
    <x v="0"/>
    <n v="43"/>
    <n v="25"/>
    <n v="46"/>
    <n v="100"/>
    <n v="43"/>
    <n v="257"/>
    <n v="500"/>
    <n v="0.51400000000000001"/>
    <n v="0.48599999999999999"/>
  </r>
  <r>
    <s v="TCL-0116"/>
    <x v="115"/>
    <x v="0"/>
    <n v="97"/>
    <n v="65"/>
    <n v="81"/>
    <n v="96"/>
    <n v="64"/>
    <n v="403"/>
    <n v="500"/>
    <n v="0.80600000000000005"/>
    <n v="0.19399999999999995"/>
  </r>
  <r>
    <s v="TCL-0117"/>
    <x v="116"/>
    <x v="3"/>
    <n v="46"/>
    <n v="15"/>
    <n v="51"/>
    <n v="91"/>
    <n v="63"/>
    <n v="266"/>
    <n v="500"/>
    <n v="0.53200000000000003"/>
    <n v="0.46799999999999997"/>
  </r>
  <r>
    <s v="TCL-0118"/>
    <x v="117"/>
    <x v="2"/>
    <n v="10"/>
    <n v="65"/>
    <n v="68"/>
    <n v="21"/>
    <n v="10"/>
    <n v="174"/>
    <n v="500"/>
    <n v="0.34799999999999998"/>
    <n v="0.65200000000000002"/>
  </r>
  <r>
    <s v="TCL-0119"/>
    <x v="118"/>
    <x v="4"/>
    <n v="25"/>
    <n v="51"/>
    <n v="95"/>
    <n v="60"/>
    <n v="33"/>
    <n v="264"/>
    <n v="500"/>
    <n v="0.52800000000000002"/>
    <n v="0.47199999999999998"/>
  </r>
  <r>
    <s v="TCL-0120"/>
    <x v="119"/>
    <x v="0"/>
    <n v="61"/>
    <n v="62"/>
    <n v="69"/>
    <n v="99"/>
    <n v="12"/>
    <n v="303"/>
    <n v="500"/>
    <n v="0.60599999999999998"/>
    <n v="0.39400000000000002"/>
  </r>
  <r>
    <s v="TCL-0121"/>
    <x v="120"/>
    <x v="4"/>
    <n v="44"/>
    <n v="27"/>
    <n v="83"/>
    <n v="76"/>
    <n v="92"/>
    <n v="322"/>
    <n v="500"/>
    <n v="0.64400000000000002"/>
    <n v="0.35599999999999998"/>
  </r>
  <r>
    <s v="TCL-0122"/>
    <x v="121"/>
    <x v="0"/>
    <n v="90"/>
    <n v="16"/>
    <n v="76"/>
    <n v="55"/>
    <n v="29"/>
    <n v="266"/>
    <n v="500"/>
    <n v="0.53200000000000003"/>
    <n v="0.46799999999999997"/>
  </r>
  <r>
    <s v="TCL-0123"/>
    <x v="122"/>
    <x v="1"/>
    <n v="44"/>
    <n v="32"/>
    <n v="51"/>
    <n v="69"/>
    <n v="25"/>
    <n v="221"/>
    <n v="500"/>
    <n v="0.442"/>
    <n v="0.55800000000000005"/>
  </r>
  <r>
    <s v="TCL-0124"/>
    <x v="123"/>
    <x v="1"/>
    <n v="58"/>
    <n v="87"/>
    <n v="49"/>
    <n v="28"/>
    <n v="62"/>
    <n v="284"/>
    <n v="500"/>
    <n v="0.56799999999999995"/>
    <n v="0.43200000000000005"/>
  </r>
  <r>
    <s v="TCL-0125"/>
    <x v="124"/>
    <x v="1"/>
    <n v="95"/>
    <n v="28"/>
    <n v="27"/>
    <n v="27"/>
    <n v="23"/>
    <n v="200"/>
    <n v="500"/>
    <n v="0.4"/>
    <n v="0.6"/>
  </r>
  <r>
    <s v="TCL-0126"/>
    <x v="125"/>
    <x v="2"/>
    <n v="40"/>
    <n v="96"/>
    <n v="46"/>
    <n v="70"/>
    <n v="18"/>
    <n v="270"/>
    <n v="500"/>
    <n v="0.54"/>
    <n v="0.45999999999999996"/>
  </r>
  <r>
    <s v="TCL-0127"/>
    <x v="126"/>
    <x v="4"/>
    <n v="77"/>
    <n v="18"/>
    <n v="21"/>
    <n v="20"/>
    <n v="97"/>
    <n v="233"/>
    <n v="500"/>
    <n v="0.46600000000000003"/>
    <n v="0.53400000000000003"/>
  </r>
  <r>
    <s v="TCL-0128"/>
    <x v="127"/>
    <x v="5"/>
    <n v="81"/>
    <n v="20"/>
    <n v="39"/>
    <n v="75"/>
    <n v="40"/>
    <n v="255"/>
    <n v="500"/>
    <n v="0.51"/>
    <n v="0.49"/>
  </r>
  <r>
    <s v="TCL-0129"/>
    <x v="128"/>
    <x v="3"/>
    <n v="46"/>
    <n v="93"/>
    <n v="87"/>
    <n v="14"/>
    <n v="99"/>
    <n v="339"/>
    <n v="500"/>
    <n v="0.67800000000000005"/>
    <n v="0.32199999999999995"/>
  </r>
  <r>
    <s v="TCL-0130"/>
    <x v="129"/>
    <x v="1"/>
    <n v="60"/>
    <n v="88"/>
    <n v="24"/>
    <n v="26"/>
    <n v="56"/>
    <n v="254"/>
    <n v="500"/>
    <n v="0.50800000000000001"/>
    <n v="0.49199999999999999"/>
  </r>
  <r>
    <s v="TCL-0131"/>
    <x v="130"/>
    <x v="3"/>
    <n v="49"/>
    <n v="78"/>
    <n v="72"/>
    <n v="80"/>
    <n v="75"/>
    <n v="354"/>
    <n v="500"/>
    <n v="0.70799999999999996"/>
    <n v="0.29200000000000004"/>
  </r>
  <r>
    <s v="TCL-0132"/>
    <x v="131"/>
    <x v="2"/>
    <n v="27"/>
    <n v="68"/>
    <n v="36"/>
    <n v="86"/>
    <n v="50"/>
    <n v="267"/>
    <n v="500"/>
    <n v="0.53400000000000003"/>
    <n v="0.46599999999999997"/>
  </r>
  <r>
    <s v="TCL-0133"/>
    <x v="132"/>
    <x v="5"/>
    <n v="26"/>
    <n v="88"/>
    <n v="13"/>
    <n v="69"/>
    <n v="60"/>
    <n v="256"/>
    <n v="500"/>
    <n v="0.51200000000000001"/>
    <n v="0.48799999999999999"/>
  </r>
  <r>
    <s v="TCL-0134"/>
    <x v="133"/>
    <x v="4"/>
    <n v="39"/>
    <n v="19"/>
    <n v="14"/>
    <n v="13"/>
    <n v="52"/>
    <n v="137"/>
    <n v="500"/>
    <n v="0.27400000000000002"/>
    <n v="0.72599999999999998"/>
  </r>
  <r>
    <s v="TCL-0135"/>
    <x v="134"/>
    <x v="0"/>
    <n v="63"/>
    <n v="40"/>
    <n v="51"/>
    <n v="55"/>
    <n v="66"/>
    <n v="275"/>
    <n v="500"/>
    <n v="0.55000000000000004"/>
    <n v="0.44999999999999996"/>
  </r>
  <r>
    <s v="TCL-0136"/>
    <x v="135"/>
    <x v="5"/>
    <n v="82"/>
    <n v="77"/>
    <n v="94"/>
    <n v="82"/>
    <n v="95"/>
    <n v="430"/>
    <n v="500"/>
    <n v="0.86"/>
    <n v="0.14000000000000001"/>
  </r>
  <r>
    <s v="TCL-0137"/>
    <x v="136"/>
    <x v="1"/>
    <n v="40"/>
    <n v="62"/>
    <n v="76"/>
    <n v="40"/>
    <n v="84"/>
    <n v="302"/>
    <n v="500"/>
    <n v="0.60399999999999998"/>
    <n v="0.39600000000000002"/>
  </r>
  <r>
    <s v="TCL-0138"/>
    <x v="137"/>
    <x v="4"/>
    <n v="57"/>
    <n v="96"/>
    <n v="22"/>
    <n v="85"/>
    <n v="60"/>
    <n v="320"/>
    <n v="500"/>
    <n v="0.64"/>
    <n v="0.36"/>
  </r>
  <r>
    <s v="TCL-0139"/>
    <x v="138"/>
    <x v="1"/>
    <n v="19"/>
    <n v="12"/>
    <n v="81"/>
    <n v="27"/>
    <n v="38"/>
    <n v="177"/>
    <n v="500"/>
    <n v="0.35399999999999998"/>
    <n v="0.64600000000000002"/>
  </r>
  <r>
    <s v="TCL-0140"/>
    <x v="139"/>
    <x v="2"/>
    <n v="14"/>
    <n v="46"/>
    <n v="100"/>
    <n v="14"/>
    <n v="36"/>
    <n v="210"/>
    <n v="500"/>
    <n v="0.42"/>
    <n v="0.58000000000000007"/>
  </r>
  <r>
    <s v="TCL-0141"/>
    <x v="140"/>
    <x v="1"/>
    <n v="53"/>
    <n v="73"/>
    <n v="12"/>
    <n v="23"/>
    <n v="40"/>
    <n v="201"/>
    <n v="500"/>
    <n v="0.40200000000000002"/>
    <n v="0.59799999999999998"/>
  </r>
  <r>
    <s v="TCL-0142"/>
    <x v="141"/>
    <x v="1"/>
    <n v="85"/>
    <n v="98"/>
    <n v="49"/>
    <n v="50"/>
    <n v="75"/>
    <n v="357"/>
    <n v="500"/>
    <n v="0.71399999999999997"/>
    <n v="0.28600000000000003"/>
  </r>
  <r>
    <s v="TCL-0143"/>
    <x v="142"/>
    <x v="3"/>
    <n v="98"/>
    <n v="16"/>
    <n v="30"/>
    <n v="28"/>
    <n v="40"/>
    <n v="212"/>
    <n v="500"/>
    <n v="0.42399999999999999"/>
    <n v="0.57600000000000007"/>
  </r>
  <r>
    <s v="TCL-0144"/>
    <x v="143"/>
    <x v="3"/>
    <n v="42"/>
    <n v="24"/>
    <n v="52"/>
    <n v="53"/>
    <n v="55"/>
    <n v="226"/>
    <n v="500"/>
    <n v="0.45200000000000001"/>
    <n v="0.54800000000000004"/>
  </r>
  <r>
    <s v="TCL-0145"/>
    <x v="144"/>
    <x v="1"/>
    <n v="63"/>
    <n v="87"/>
    <n v="30"/>
    <n v="27"/>
    <n v="78"/>
    <n v="285"/>
    <n v="500"/>
    <n v="0.56999999999999995"/>
    <n v="0.43000000000000005"/>
  </r>
  <r>
    <s v="TCL-0146"/>
    <x v="145"/>
    <x v="1"/>
    <n v="22"/>
    <n v="94"/>
    <n v="30"/>
    <n v="29"/>
    <n v="90"/>
    <n v="265"/>
    <n v="500"/>
    <n v="0.53"/>
    <n v="0.47"/>
  </r>
  <r>
    <s v="TCL-0147"/>
    <x v="146"/>
    <x v="1"/>
    <n v="24"/>
    <n v="40"/>
    <n v="59"/>
    <n v="18"/>
    <n v="94"/>
    <n v="235"/>
    <n v="500"/>
    <n v="0.47"/>
    <n v="0.53"/>
  </r>
  <r>
    <s v="TCL-0148"/>
    <x v="147"/>
    <x v="4"/>
    <n v="67"/>
    <n v="95"/>
    <n v="76"/>
    <n v="19"/>
    <n v="26"/>
    <n v="283"/>
    <n v="500"/>
    <n v="0.56599999999999995"/>
    <n v="0.43400000000000005"/>
  </r>
  <r>
    <s v="TCL-0149"/>
    <x v="148"/>
    <x v="5"/>
    <n v="98"/>
    <n v="19"/>
    <n v="53"/>
    <n v="92"/>
    <n v="87"/>
    <n v="349"/>
    <n v="500"/>
    <n v="0.69799999999999995"/>
    <n v="0.30200000000000005"/>
  </r>
  <r>
    <s v="TCL-0150"/>
    <x v="149"/>
    <x v="3"/>
    <n v="54"/>
    <n v="37"/>
    <n v="23"/>
    <n v="99"/>
    <n v="80"/>
    <n v="293"/>
    <n v="500"/>
    <n v="0.58599999999999997"/>
    <n v="0.41400000000000003"/>
  </r>
  <r>
    <s v="TCL-0151"/>
    <x v="150"/>
    <x v="4"/>
    <n v="85"/>
    <n v="24"/>
    <n v="56"/>
    <n v="39"/>
    <n v="28"/>
    <n v="232"/>
    <n v="500"/>
    <n v="0.46400000000000002"/>
    <n v="0.53600000000000003"/>
  </r>
  <r>
    <s v="TCL-0152"/>
    <x v="151"/>
    <x v="5"/>
    <n v="74"/>
    <n v="23"/>
    <n v="56"/>
    <n v="95"/>
    <n v="21"/>
    <n v="269"/>
    <n v="500"/>
    <n v="0.53800000000000003"/>
    <n v="0.46199999999999997"/>
  </r>
  <r>
    <s v="TCL-0153"/>
    <x v="152"/>
    <x v="0"/>
    <n v="26"/>
    <n v="42"/>
    <n v="89"/>
    <n v="36"/>
    <n v="69"/>
    <n v="262"/>
    <n v="500"/>
    <n v="0.52400000000000002"/>
    <n v="0.47599999999999998"/>
  </r>
  <r>
    <s v="TCL-0154"/>
    <x v="153"/>
    <x v="3"/>
    <n v="75"/>
    <n v="22"/>
    <n v="68"/>
    <n v="51"/>
    <n v="19"/>
    <n v="235"/>
    <n v="500"/>
    <n v="0.47"/>
    <n v="0.53"/>
  </r>
  <r>
    <s v="TCL-0155"/>
    <x v="154"/>
    <x v="3"/>
    <n v="26"/>
    <n v="63"/>
    <n v="96"/>
    <n v="76"/>
    <n v="11"/>
    <n v="272"/>
    <n v="500"/>
    <n v="0.54400000000000004"/>
    <n v="0.45599999999999996"/>
  </r>
  <r>
    <s v="TCL-0156"/>
    <x v="155"/>
    <x v="1"/>
    <n v="70"/>
    <n v="89"/>
    <n v="52"/>
    <n v="63"/>
    <n v="72"/>
    <n v="346"/>
    <n v="500"/>
    <n v="0.69199999999999995"/>
    <n v="0.30800000000000005"/>
  </r>
  <r>
    <s v="TCL-0157"/>
    <x v="156"/>
    <x v="2"/>
    <n v="97"/>
    <n v="87"/>
    <n v="25"/>
    <n v="40"/>
    <n v="99"/>
    <n v="348"/>
    <n v="500"/>
    <n v="0.69599999999999995"/>
    <n v="0.30400000000000005"/>
  </r>
  <r>
    <s v="TCL-0158"/>
    <x v="157"/>
    <x v="1"/>
    <n v="94"/>
    <n v="48"/>
    <n v="98"/>
    <n v="62"/>
    <n v="83"/>
    <n v="385"/>
    <n v="500"/>
    <n v="0.77"/>
    <n v="0.22999999999999998"/>
  </r>
  <r>
    <s v="TCL-0159"/>
    <x v="158"/>
    <x v="3"/>
    <n v="30"/>
    <n v="78"/>
    <n v="87"/>
    <n v="12"/>
    <n v="100"/>
    <n v="307"/>
    <n v="500"/>
    <n v="0.61399999999999999"/>
    <n v="0.38600000000000001"/>
  </r>
  <r>
    <s v="TCL-0160"/>
    <x v="159"/>
    <x v="3"/>
    <n v="51"/>
    <n v="36"/>
    <n v="92"/>
    <n v="18"/>
    <n v="82"/>
    <n v="279"/>
    <n v="500"/>
    <n v="0.55800000000000005"/>
    <n v="0.44199999999999995"/>
  </r>
  <r>
    <s v="TCL-0161"/>
    <x v="160"/>
    <x v="0"/>
    <n v="44"/>
    <n v="11"/>
    <n v="58"/>
    <n v="50"/>
    <n v="26"/>
    <n v="189"/>
    <n v="500"/>
    <n v="0.378"/>
    <n v="0.622"/>
  </r>
  <r>
    <s v="TCL-0162"/>
    <x v="161"/>
    <x v="2"/>
    <n v="27"/>
    <n v="44"/>
    <n v="14"/>
    <n v="97"/>
    <n v="67"/>
    <n v="249"/>
    <n v="500"/>
    <n v="0.498"/>
    <n v="0.502"/>
  </r>
  <r>
    <s v="TCL-0163"/>
    <x v="162"/>
    <x v="2"/>
    <n v="29"/>
    <n v="99"/>
    <n v="42"/>
    <n v="94"/>
    <n v="50"/>
    <n v="314"/>
    <n v="500"/>
    <n v="0.628"/>
    <n v="0.372"/>
  </r>
  <r>
    <s v="TCL-0164"/>
    <x v="163"/>
    <x v="3"/>
    <n v="99"/>
    <n v="29"/>
    <n v="87"/>
    <n v="81"/>
    <n v="76"/>
    <n v="372"/>
    <n v="500"/>
    <n v="0.74399999999999999"/>
    <n v="0.25600000000000001"/>
  </r>
  <r>
    <s v="TCL-0165"/>
    <x v="164"/>
    <x v="5"/>
    <n v="65"/>
    <n v="76"/>
    <n v="98"/>
    <n v="81"/>
    <n v="76"/>
    <n v="396"/>
    <n v="500"/>
    <n v="0.79200000000000004"/>
    <n v="0.20799999999999996"/>
  </r>
  <r>
    <s v="TCL-0166"/>
    <x v="165"/>
    <x v="4"/>
    <n v="42"/>
    <n v="96"/>
    <n v="50"/>
    <n v="35"/>
    <n v="64"/>
    <n v="287"/>
    <n v="500"/>
    <n v="0.57399999999999995"/>
    <n v="0.42600000000000005"/>
  </r>
  <r>
    <s v="TCL-0167"/>
    <x v="166"/>
    <x v="1"/>
    <n v="48"/>
    <n v="15"/>
    <n v="53"/>
    <n v="12"/>
    <n v="31"/>
    <n v="159"/>
    <n v="500"/>
    <n v="0.318"/>
    <n v="0.68199999999999994"/>
  </r>
  <r>
    <s v="TCL-0168"/>
    <x v="167"/>
    <x v="2"/>
    <n v="99"/>
    <n v="51"/>
    <n v="83"/>
    <n v="77"/>
    <n v="76"/>
    <n v="386"/>
    <n v="500"/>
    <n v="0.77200000000000002"/>
    <n v="0.22799999999999998"/>
  </r>
  <r>
    <s v="TCL-0169"/>
    <x v="168"/>
    <x v="1"/>
    <n v="86"/>
    <n v="89"/>
    <n v="35"/>
    <n v="99"/>
    <n v="73"/>
    <n v="382"/>
    <n v="500"/>
    <n v="0.76400000000000001"/>
    <n v="0.23599999999999999"/>
  </r>
  <r>
    <s v="TCL-0170"/>
    <x v="169"/>
    <x v="0"/>
    <n v="50"/>
    <n v="17"/>
    <n v="11"/>
    <n v="19"/>
    <n v="77"/>
    <n v="174"/>
    <n v="500"/>
    <n v="0.34799999999999998"/>
    <n v="0.65200000000000002"/>
  </r>
  <r>
    <s v="TCL-0171"/>
    <x v="170"/>
    <x v="3"/>
    <n v="85"/>
    <n v="10"/>
    <n v="45"/>
    <n v="15"/>
    <n v="11"/>
    <n v="166"/>
    <n v="500"/>
    <n v="0.33200000000000002"/>
    <n v="0.66799999999999993"/>
  </r>
  <r>
    <s v="TCL-0172"/>
    <x v="171"/>
    <x v="3"/>
    <n v="25"/>
    <n v="88"/>
    <n v="28"/>
    <n v="89"/>
    <n v="88"/>
    <n v="318"/>
    <n v="500"/>
    <n v="0.63600000000000001"/>
    <n v="0.36399999999999999"/>
  </r>
  <r>
    <s v="TCL-0173"/>
    <x v="172"/>
    <x v="3"/>
    <n v="26"/>
    <n v="40"/>
    <n v="60"/>
    <n v="74"/>
    <n v="88"/>
    <n v="288"/>
    <n v="500"/>
    <n v="0.57599999999999996"/>
    <n v="0.42400000000000004"/>
  </r>
  <r>
    <s v="TCL-0174"/>
    <x v="173"/>
    <x v="3"/>
    <n v="19"/>
    <n v="61"/>
    <n v="71"/>
    <n v="96"/>
    <n v="93"/>
    <n v="340"/>
    <n v="500"/>
    <n v="0.68"/>
    <n v="0.31999999999999995"/>
  </r>
  <r>
    <s v="TCL-0175"/>
    <x v="174"/>
    <x v="4"/>
    <n v="29"/>
    <n v="22"/>
    <n v="46"/>
    <n v="18"/>
    <n v="16"/>
    <n v="131"/>
    <n v="500"/>
    <n v="0.26200000000000001"/>
    <n v="0.73799999999999999"/>
  </r>
  <r>
    <s v="TCL-0176"/>
    <x v="175"/>
    <x v="2"/>
    <n v="47"/>
    <n v="96"/>
    <n v="61"/>
    <n v="90"/>
    <n v="48"/>
    <n v="342"/>
    <n v="500"/>
    <n v="0.68400000000000005"/>
    <n v="0.31599999999999995"/>
  </r>
  <r>
    <s v="TCL-0177"/>
    <x v="176"/>
    <x v="0"/>
    <n v="23"/>
    <n v="20"/>
    <n v="72"/>
    <n v="57"/>
    <n v="12"/>
    <n v="184"/>
    <n v="500"/>
    <n v="0.36799999999999999"/>
    <n v="0.63200000000000001"/>
  </r>
  <r>
    <s v="TCL-0178"/>
    <x v="177"/>
    <x v="4"/>
    <n v="100"/>
    <n v="14"/>
    <n v="19"/>
    <n v="99"/>
    <n v="13"/>
    <n v="245"/>
    <n v="500"/>
    <n v="0.49"/>
    <n v="0.51"/>
  </r>
  <r>
    <s v="TCL-0179"/>
    <x v="178"/>
    <x v="4"/>
    <n v="59"/>
    <n v="27"/>
    <n v="69"/>
    <n v="76"/>
    <n v="96"/>
    <n v="327"/>
    <n v="500"/>
    <n v="0.65400000000000003"/>
    <n v="0.34599999999999997"/>
  </r>
  <r>
    <s v="TCL-0180"/>
    <x v="179"/>
    <x v="2"/>
    <n v="69"/>
    <n v="91"/>
    <n v="45"/>
    <n v="85"/>
    <n v="52"/>
    <n v="342"/>
    <n v="500"/>
    <n v="0.68400000000000005"/>
    <n v="0.31599999999999995"/>
  </r>
  <r>
    <s v="TCL-0181"/>
    <x v="180"/>
    <x v="2"/>
    <n v="88"/>
    <n v="21"/>
    <n v="71"/>
    <n v="19"/>
    <n v="82"/>
    <n v="281"/>
    <n v="500"/>
    <n v="0.56200000000000006"/>
    <n v="0.43799999999999994"/>
  </r>
  <r>
    <s v="TCL-0182"/>
    <x v="181"/>
    <x v="5"/>
    <n v="27"/>
    <n v="33"/>
    <n v="71"/>
    <n v="24"/>
    <n v="82"/>
    <n v="237"/>
    <n v="500"/>
    <n v="0.47399999999999998"/>
    <n v="0.52600000000000002"/>
  </r>
  <r>
    <s v="TCL-0183"/>
    <x v="182"/>
    <x v="1"/>
    <n v="26"/>
    <n v="70"/>
    <n v="23"/>
    <n v="71"/>
    <n v="15"/>
    <n v="205"/>
    <n v="500"/>
    <n v="0.41"/>
    <n v="0.59000000000000008"/>
  </r>
  <r>
    <s v="TCL-0184"/>
    <x v="183"/>
    <x v="0"/>
    <n v="86"/>
    <n v="97"/>
    <n v="29"/>
    <n v="53"/>
    <n v="16"/>
    <n v="281"/>
    <n v="500"/>
    <n v="0.56200000000000006"/>
    <n v="0.43799999999999994"/>
  </r>
  <r>
    <s v="TCL-0185"/>
    <x v="184"/>
    <x v="5"/>
    <n v="26"/>
    <n v="82"/>
    <n v="96"/>
    <n v="75"/>
    <n v="96"/>
    <n v="375"/>
    <n v="500"/>
    <n v="0.75"/>
    <n v="0.25"/>
  </r>
  <r>
    <s v="TCL-0186"/>
    <x v="185"/>
    <x v="2"/>
    <n v="70"/>
    <n v="24"/>
    <n v="49"/>
    <n v="21"/>
    <n v="54"/>
    <n v="218"/>
    <n v="500"/>
    <n v="0.436"/>
    <n v="0.56400000000000006"/>
  </r>
  <r>
    <s v="TCL-0187"/>
    <x v="186"/>
    <x v="1"/>
    <n v="33"/>
    <n v="50"/>
    <n v="45"/>
    <n v="82"/>
    <n v="49"/>
    <n v="259"/>
    <n v="500"/>
    <n v="0.51800000000000002"/>
    <n v="0.48199999999999998"/>
  </r>
  <r>
    <s v="TCL-0188"/>
    <x v="187"/>
    <x v="0"/>
    <n v="76"/>
    <n v="44"/>
    <n v="55"/>
    <n v="33"/>
    <n v="91"/>
    <n v="299"/>
    <n v="500"/>
    <n v="0.59799999999999998"/>
    <n v="0.40200000000000002"/>
  </r>
  <r>
    <s v="TCL-0189"/>
    <x v="188"/>
    <x v="0"/>
    <n v="93"/>
    <n v="91"/>
    <n v="89"/>
    <n v="38"/>
    <n v="84"/>
    <n v="395"/>
    <n v="500"/>
    <n v="0.79"/>
    <n v="0.20999999999999996"/>
  </r>
  <r>
    <s v="TCL-0190"/>
    <x v="189"/>
    <x v="5"/>
    <n v="28"/>
    <n v="30"/>
    <n v="37"/>
    <n v="40"/>
    <n v="21"/>
    <n v="156"/>
    <n v="500"/>
    <n v="0.312"/>
    <n v="0.68799999999999994"/>
  </r>
  <r>
    <s v="TCL-0191"/>
    <x v="190"/>
    <x v="4"/>
    <n v="75"/>
    <n v="51"/>
    <n v="89"/>
    <n v="18"/>
    <n v="57"/>
    <n v="290"/>
    <n v="500"/>
    <n v="0.57999999999999996"/>
    <n v="0.42000000000000004"/>
  </r>
  <r>
    <s v="TCL-0192"/>
    <x v="191"/>
    <x v="5"/>
    <n v="36"/>
    <n v="31"/>
    <n v="11"/>
    <n v="89"/>
    <n v="42"/>
    <n v="209"/>
    <n v="500"/>
    <n v="0.41799999999999998"/>
    <n v="0.58200000000000007"/>
  </r>
  <r>
    <s v="TCL-0193"/>
    <x v="192"/>
    <x v="4"/>
    <n v="76"/>
    <n v="93"/>
    <n v="30"/>
    <n v="54"/>
    <n v="44"/>
    <n v="297"/>
    <n v="500"/>
    <n v="0.59399999999999997"/>
    <n v="0.40600000000000003"/>
  </r>
  <r>
    <s v="TCL-0194"/>
    <x v="193"/>
    <x v="2"/>
    <n v="78"/>
    <n v="45"/>
    <n v="69"/>
    <n v="11"/>
    <n v="73"/>
    <n v="276"/>
    <n v="500"/>
    <n v="0.55200000000000005"/>
    <n v="0.44799999999999995"/>
  </r>
  <r>
    <s v="TCL-0195"/>
    <x v="194"/>
    <x v="4"/>
    <n v="54"/>
    <n v="24"/>
    <n v="76"/>
    <n v="94"/>
    <n v="50"/>
    <n v="298"/>
    <n v="500"/>
    <n v="0.59599999999999997"/>
    <n v="0.40400000000000003"/>
  </r>
  <r>
    <s v="TCL-0196"/>
    <x v="195"/>
    <x v="0"/>
    <n v="98"/>
    <n v="43"/>
    <n v="68"/>
    <n v="53"/>
    <n v="87"/>
    <n v="349"/>
    <n v="500"/>
    <n v="0.69799999999999995"/>
    <n v="0.30200000000000005"/>
  </r>
  <r>
    <s v="TCL-0197"/>
    <x v="196"/>
    <x v="0"/>
    <n v="97"/>
    <n v="98"/>
    <n v="11"/>
    <n v="82"/>
    <n v="10"/>
    <n v="298"/>
    <n v="500"/>
    <n v="0.59599999999999997"/>
    <n v="0.40400000000000003"/>
  </r>
  <r>
    <s v="TCL-0198"/>
    <x v="197"/>
    <x v="2"/>
    <n v="66"/>
    <n v="67"/>
    <n v="51"/>
    <n v="42"/>
    <n v="94"/>
    <n v="320"/>
    <n v="500"/>
    <n v="0.64"/>
    <n v="0.36"/>
  </r>
  <r>
    <s v="TCL-0199"/>
    <x v="198"/>
    <x v="1"/>
    <n v="30"/>
    <n v="75"/>
    <n v="25"/>
    <n v="36"/>
    <n v="86"/>
    <n v="252"/>
    <n v="500"/>
    <n v="0.504"/>
    <n v="0.496"/>
  </r>
  <r>
    <s v="TCL-0200"/>
    <x v="199"/>
    <x v="5"/>
    <n v="15"/>
    <n v="10"/>
    <n v="29"/>
    <n v="32"/>
    <n v="20"/>
    <n v="106"/>
    <n v="500"/>
    <n v="0.21199999999999999"/>
    <n v="0.78800000000000003"/>
  </r>
  <r>
    <s v="TCL-0201"/>
    <x v="200"/>
    <x v="1"/>
    <n v="17"/>
    <n v="14"/>
    <n v="40"/>
    <n v="93"/>
    <n v="53"/>
    <n v="217"/>
    <n v="500"/>
    <n v="0.434"/>
    <n v="0.56600000000000006"/>
  </r>
  <r>
    <s v="TCL-0202"/>
    <x v="201"/>
    <x v="3"/>
    <n v="33"/>
    <n v="16"/>
    <n v="78"/>
    <n v="20"/>
    <n v="18"/>
    <n v="165"/>
    <n v="500"/>
    <n v="0.33"/>
    <n v="0.66999999999999993"/>
  </r>
  <r>
    <s v="TCL-0203"/>
    <x v="202"/>
    <x v="0"/>
    <n v="34"/>
    <n v="46"/>
    <n v="61"/>
    <n v="10"/>
    <n v="75"/>
    <n v="226"/>
    <n v="500"/>
    <n v="0.45200000000000001"/>
    <n v="0.54800000000000004"/>
  </r>
  <r>
    <s v="TCL-0204"/>
    <x v="203"/>
    <x v="5"/>
    <n v="91"/>
    <n v="20"/>
    <n v="27"/>
    <n v="34"/>
    <n v="49"/>
    <n v="221"/>
    <n v="500"/>
    <n v="0.442"/>
    <n v="0.55800000000000005"/>
  </r>
  <r>
    <s v="TCL-0205"/>
    <x v="204"/>
    <x v="0"/>
    <n v="39"/>
    <n v="13"/>
    <n v="17"/>
    <n v="69"/>
    <n v="75"/>
    <n v="213"/>
    <n v="500"/>
    <n v="0.42599999999999999"/>
    <n v="0.57400000000000007"/>
  </r>
  <r>
    <s v="TCL-0206"/>
    <x v="205"/>
    <x v="3"/>
    <n v="77"/>
    <n v="80"/>
    <n v="18"/>
    <n v="53"/>
    <n v="11"/>
    <n v="239"/>
    <n v="500"/>
    <n v="0.47799999999999998"/>
    <n v="0.52200000000000002"/>
  </r>
  <r>
    <s v="TCL-0207"/>
    <x v="206"/>
    <x v="3"/>
    <n v="30"/>
    <n v="13"/>
    <n v="15"/>
    <n v="71"/>
    <n v="84"/>
    <n v="213"/>
    <n v="500"/>
    <n v="0.42599999999999999"/>
    <n v="0.57400000000000007"/>
  </r>
  <r>
    <s v="TCL-0208"/>
    <x v="207"/>
    <x v="2"/>
    <n v="35"/>
    <n v="47"/>
    <n v="57"/>
    <n v="36"/>
    <n v="100"/>
    <n v="275"/>
    <n v="500"/>
    <n v="0.55000000000000004"/>
    <n v="0.44999999999999996"/>
  </r>
  <r>
    <s v="TCL-0209"/>
    <x v="208"/>
    <x v="3"/>
    <n v="81"/>
    <n v="97"/>
    <n v="35"/>
    <n v="70"/>
    <n v="43"/>
    <n v="326"/>
    <n v="500"/>
    <n v="0.65200000000000002"/>
    <n v="0.34799999999999998"/>
  </r>
  <r>
    <s v="TCL-0210"/>
    <x v="209"/>
    <x v="5"/>
    <n v="85"/>
    <n v="59"/>
    <n v="66"/>
    <n v="96"/>
    <n v="78"/>
    <n v="384"/>
    <n v="500"/>
    <n v="0.76800000000000002"/>
    <n v="0.23199999999999998"/>
  </r>
  <r>
    <s v="TCL-0211"/>
    <x v="210"/>
    <x v="5"/>
    <n v="19"/>
    <n v="30"/>
    <n v="59"/>
    <n v="91"/>
    <n v="70"/>
    <n v="269"/>
    <n v="500"/>
    <n v="0.53800000000000003"/>
    <n v="0.46199999999999997"/>
  </r>
  <r>
    <s v="TCL-0212"/>
    <x v="211"/>
    <x v="0"/>
    <n v="29"/>
    <n v="74"/>
    <n v="27"/>
    <n v="94"/>
    <n v="14"/>
    <n v="238"/>
    <n v="500"/>
    <n v="0.47599999999999998"/>
    <n v="0.52400000000000002"/>
  </r>
  <r>
    <s v="TCL-0213"/>
    <x v="212"/>
    <x v="0"/>
    <n v="39"/>
    <n v="64"/>
    <n v="96"/>
    <n v="65"/>
    <n v="13"/>
    <n v="277"/>
    <n v="500"/>
    <n v="0.55400000000000005"/>
    <n v="0.44599999999999995"/>
  </r>
  <r>
    <s v="TCL-0214"/>
    <x v="213"/>
    <x v="2"/>
    <n v="75"/>
    <n v="60"/>
    <n v="13"/>
    <n v="73"/>
    <n v="26"/>
    <n v="247"/>
    <n v="500"/>
    <n v="0.49399999999999999"/>
    <n v="0.50600000000000001"/>
  </r>
  <r>
    <s v="TCL-0215"/>
    <x v="214"/>
    <x v="1"/>
    <n v="94"/>
    <n v="20"/>
    <n v="73"/>
    <n v="16"/>
    <n v="53"/>
    <n v="256"/>
    <n v="500"/>
    <n v="0.51200000000000001"/>
    <n v="0.48799999999999999"/>
  </r>
  <r>
    <s v="TCL-0216"/>
    <x v="215"/>
    <x v="2"/>
    <n v="78"/>
    <n v="37"/>
    <n v="55"/>
    <n v="87"/>
    <n v="67"/>
    <n v="324"/>
    <n v="500"/>
    <n v="0.64800000000000002"/>
    <n v="0.35199999999999998"/>
  </r>
  <r>
    <s v="TCL-0217"/>
    <x v="216"/>
    <x v="2"/>
    <n v="17"/>
    <n v="18"/>
    <n v="88"/>
    <n v="30"/>
    <n v="58"/>
    <n v="211"/>
    <n v="500"/>
    <n v="0.42199999999999999"/>
    <n v="0.57800000000000007"/>
  </r>
  <r>
    <s v="TCL-0218"/>
    <x v="217"/>
    <x v="4"/>
    <n v="56"/>
    <n v="90"/>
    <n v="47"/>
    <n v="54"/>
    <n v="28"/>
    <n v="275"/>
    <n v="500"/>
    <n v="0.55000000000000004"/>
    <n v="0.44999999999999996"/>
  </r>
  <r>
    <s v="TCL-0219"/>
    <x v="218"/>
    <x v="1"/>
    <n v="100"/>
    <n v="32"/>
    <n v="80"/>
    <n v="67"/>
    <n v="79"/>
    <n v="358"/>
    <n v="500"/>
    <n v="0.71599999999999997"/>
    <n v="0.28400000000000003"/>
  </r>
  <r>
    <s v="TCL-0220"/>
    <x v="219"/>
    <x v="5"/>
    <n v="24"/>
    <n v="45"/>
    <n v="29"/>
    <n v="86"/>
    <n v="56"/>
    <n v="240"/>
    <n v="500"/>
    <n v="0.48"/>
    <n v="0.52"/>
  </r>
  <r>
    <s v="TCL-0221"/>
    <x v="220"/>
    <x v="2"/>
    <n v="73"/>
    <n v="44"/>
    <n v="19"/>
    <n v="14"/>
    <n v="63"/>
    <n v="213"/>
    <n v="500"/>
    <n v="0.42599999999999999"/>
    <n v="0.57400000000000007"/>
  </r>
  <r>
    <s v="TCL-0222"/>
    <x v="221"/>
    <x v="4"/>
    <n v="78"/>
    <n v="95"/>
    <n v="17"/>
    <n v="51"/>
    <n v="38"/>
    <n v="279"/>
    <n v="500"/>
    <n v="0.55800000000000005"/>
    <n v="0.44199999999999995"/>
  </r>
  <r>
    <s v="TCL-0223"/>
    <x v="222"/>
    <x v="5"/>
    <n v="17"/>
    <n v="81"/>
    <n v="22"/>
    <n v="67"/>
    <n v="35"/>
    <n v="222"/>
    <n v="500"/>
    <n v="0.44400000000000001"/>
    <n v="0.55600000000000005"/>
  </r>
  <r>
    <s v="TCL-0224"/>
    <x v="223"/>
    <x v="2"/>
    <n v="28"/>
    <n v="36"/>
    <n v="12"/>
    <n v="42"/>
    <n v="28"/>
    <n v="146"/>
    <n v="500"/>
    <n v="0.29199999999999998"/>
    <n v="0.70799999999999996"/>
  </r>
  <r>
    <s v="TCL-0225"/>
    <x v="224"/>
    <x v="0"/>
    <n v="96"/>
    <n v="58"/>
    <n v="61"/>
    <n v="18"/>
    <n v="24"/>
    <n v="257"/>
    <n v="500"/>
    <n v="0.51400000000000001"/>
    <n v="0.48599999999999999"/>
  </r>
  <r>
    <s v="TCL-0226"/>
    <x v="225"/>
    <x v="4"/>
    <n v="68"/>
    <n v="87"/>
    <n v="32"/>
    <n v="28"/>
    <n v="78"/>
    <n v="293"/>
    <n v="500"/>
    <n v="0.58599999999999997"/>
    <n v="0.41400000000000003"/>
  </r>
  <r>
    <s v="TCL-0227"/>
    <x v="226"/>
    <x v="2"/>
    <n v="63"/>
    <n v="63"/>
    <n v="70"/>
    <n v="91"/>
    <n v="13"/>
    <n v="300"/>
    <n v="500"/>
    <n v="0.6"/>
    <n v="0.4"/>
  </r>
  <r>
    <s v="TCL-0228"/>
    <x v="227"/>
    <x v="0"/>
    <n v="22"/>
    <n v="25"/>
    <n v="64"/>
    <n v="85"/>
    <n v="18"/>
    <n v="214"/>
    <n v="500"/>
    <n v="0.42799999999999999"/>
    <n v="0.57200000000000006"/>
  </r>
  <r>
    <s v="TCL-0229"/>
    <x v="228"/>
    <x v="3"/>
    <n v="53"/>
    <n v="31"/>
    <n v="26"/>
    <n v="44"/>
    <n v="78"/>
    <n v="232"/>
    <n v="500"/>
    <n v="0.46400000000000002"/>
    <n v="0.53600000000000003"/>
  </r>
  <r>
    <s v="TCL-0230"/>
    <x v="229"/>
    <x v="1"/>
    <n v="27"/>
    <n v="21"/>
    <n v="84"/>
    <n v="74"/>
    <n v="17"/>
    <n v="223"/>
    <n v="500"/>
    <n v="0.44600000000000001"/>
    <n v="0.55400000000000005"/>
  </r>
  <r>
    <s v="TCL-0231"/>
    <x v="230"/>
    <x v="2"/>
    <n v="76"/>
    <n v="45"/>
    <n v="46"/>
    <n v="66"/>
    <n v="92"/>
    <n v="325"/>
    <n v="500"/>
    <n v="0.65"/>
    <n v="0.35"/>
  </r>
  <r>
    <s v="TCL-0232"/>
    <x v="231"/>
    <x v="4"/>
    <n v="37"/>
    <n v="60"/>
    <n v="64"/>
    <n v="49"/>
    <n v="79"/>
    <n v="289"/>
    <n v="500"/>
    <n v="0.57799999999999996"/>
    <n v="0.42200000000000004"/>
  </r>
  <r>
    <s v="TCL-0233"/>
    <x v="232"/>
    <x v="2"/>
    <n v="23"/>
    <n v="93"/>
    <n v="97"/>
    <n v="46"/>
    <n v="37"/>
    <n v="296"/>
    <n v="500"/>
    <n v="0.59199999999999997"/>
    <n v="0.40800000000000003"/>
  </r>
  <r>
    <s v="TCL-0234"/>
    <x v="233"/>
    <x v="5"/>
    <n v="54"/>
    <n v="38"/>
    <n v="81"/>
    <n v="84"/>
    <n v="85"/>
    <n v="342"/>
    <n v="500"/>
    <n v="0.68400000000000005"/>
    <n v="0.31599999999999995"/>
  </r>
  <r>
    <s v="TCL-0235"/>
    <x v="234"/>
    <x v="1"/>
    <n v="14"/>
    <n v="71"/>
    <n v="79"/>
    <n v="60"/>
    <n v="91"/>
    <n v="315"/>
    <n v="500"/>
    <n v="0.63"/>
    <n v="0.37"/>
  </r>
  <r>
    <s v="TCL-0236"/>
    <x v="235"/>
    <x v="0"/>
    <n v="63"/>
    <n v="30"/>
    <n v="95"/>
    <n v="36"/>
    <n v="66"/>
    <n v="290"/>
    <n v="500"/>
    <n v="0.57999999999999996"/>
    <n v="0.42000000000000004"/>
  </r>
  <r>
    <s v="TCL-0237"/>
    <x v="236"/>
    <x v="3"/>
    <n v="15"/>
    <n v="53"/>
    <n v="71"/>
    <n v="96"/>
    <n v="93"/>
    <n v="328"/>
    <n v="500"/>
    <n v="0.65600000000000003"/>
    <n v="0.34399999999999997"/>
  </r>
  <r>
    <s v="TCL-0238"/>
    <x v="237"/>
    <x v="2"/>
    <n v="51"/>
    <n v="34"/>
    <n v="74"/>
    <n v="47"/>
    <n v="96"/>
    <n v="302"/>
    <n v="500"/>
    <n v="0.60399999999999998"/>
    <n v="0.39600000000000002"/>
  </r>
  <r>
    <s v="TCL-0239"/>
    <x v="238"/>
    <x v="4"/>
    <n v="21"/>
    <n v="74"/>
    <n v="91"/>
    <n v="45"/>
    <n v="69"/>
    <n v="300"/>
    <n v="500"/>
    <n v="0.6"/>
    <n v="0.4"/>
  </r>
  <r>
    <s v="TCL-0240"/>
    <x v="239"/>
    <x v="3"/>
    <n v="81"/>
    <n v="15"/>
    <n v="45"/>
    <n v="76"/>
    <n v="96"/>
    <n v="313"/>
    <n v="500"/>
    <n v="0.626"/>
    <n v="0.374"/>
  </r>
  <r>
    <s v="TCL-0241"/>
    <x v="240"/>
    <x v="0"/>
    <n v="25"/>
    <n v="92"/>
    <n v="17"/>
    <n v="45"/>
    <n v="21"/>
    <n v="200"/>
    <n v="500"/>
    <n v="0.4"/>
    <n v="0.6"/>
  </r>
  <r>
    <s v="TCL-0242"/>
    <x v="241"/>
    <x v="0"/>
    <n v="77"/>
    <n v="42"/>
    <n v="53"/>
    <n v="100"/>
    <n v="77"/>
    <n v="349"/>
    <n v="500"/>
    <n v="0.69799999999999995"/>
    <n v="0.30200000000000005"/>
  </r>
  <r>
    <s v="TCL-0243"/>
    <x v="242"/>
    <x v="0"/>
    <n v="90"/>
    <n v="41"/>
    <n v="62"/>
    <n v="84"/>
    <n v="24"/>
    <n v="301"/>
    <n v="500"/>
    <n v="0.60199999999999998"/>
    <n v="0.39800000000000002"/>
  </r>
  <r>
    <s v="TCL-0244"/>
    <x v="243"/>
    <x v="4"/>
    <n v="76"/>
    <n v="10"/>
    <n v="42"/>
    <n v="39"/>
    <n v="74"/>
    <n v="241"/>
    <n v="500"/>
    <n v="0.48199999999999998"/>
    <n v="0.51800000000000002"/>
  </r>
  <r>
    <s v="TCL-0245"/>
    <x v="244"/>
    <x v="3"/>
    <n v="65"/>
    <n v="18"/>
    <n v="22"/>
    <n v="21"/>
    <n v="69"/>
    <n v="195"/>
    <n v="500"/>
    <n v="0.39"/>
    <n v="0.61"/>
  </r>
  <r>
    <s v="TCL-0246"/>
    <x v="245"/>
    <x v="5"/>
    <n v="63"/>
    <n v="72"/>
    <n v="16"/>
    <n v="45"/>
    <n v="52"/>
    <n v="248"/>
    <n v="500"/>
    <n v="0.496"/>
    <n v="0.504"/>
  </r>
  <r>
    <s v="TCL-0247"/>
    <x v="246"/>
    <x v="4"/>
    <n v="36"/>
    <n v="95"/>
    <n v="48"/>
    <n v="67"/>
    <n v="12"/>
    <n v="258"/>
    <n v="500"/>
    <n v="0.51600000000000001"/>
    <n v="0.48399999999999999"/>
  </r>
  <r>
    <s v="TCL-0248"/>
    <x v="247"/>
    <x v="2"/>
    <n v="63"/>
    <n v="100"/>
    <n v="46"/>
    <n v="82"/>
    <n v="64"/>
    <n v="355"/>
    <n v="500"/>
    <n v="0.71"/>
    <n v="0.29000000000000004"/>
  </r>
  <r>
    <s v="TCL-0249"/>
    <x v="248"/>
    <x v="0"/>
    <n v="39"/>
    <n v="54"/>
    <n v="32"/>
    <n v="40"/>
    <n v="21"/>
    <n v="186"/>
    <n v="500"/>
    <n v="0.372"/>
    <n v="0.628"/>
  </r>
  <r>
    <s v="TCL-0250"/>
    <x v="249"/>
    <x v="0"/>
    <n v="89"/>
    <n v="71"/>
    <n v="27"/>
    <n v="10"/>
    <n v="10"/>
    <n v="207"/>
    <n v="500"/>
    <n v="0.41399999999999998"/>
    <n v="0.5860000000000000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EFB37BA-4C17-4A79-8476-C4760394A780}"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A3:B8" firstHeaderRow="1" firstDataRow="1" firstDataCol="1"/>
  <pivotFields count="12">
    <pivotField showAll="0"/>
    <pivotField axis="axisRow" showAll="0" measureFilter="1">
      <items count="251">
        <item x="24"/>
        <item x="233"/>
        <item x="11"/>
        <item x="12"/>
        <item x="247"/>
        <item x="185"/>
        <item x="84"/>
        <item x="249"/>
        <item x="30"/>
        <item x="59"/>
        <item x="123"/>
        <item x="70"/>
        <item x="224"/>
        <item x="86"/>
        <item x="94"/>
        <item x="63"/>
        <item x="203"/>
        <item x="172"/>
        <item x="177"/>
        <item x="26"/>
        <item x="20"/>
        <item x="136"/>
        <item x="19"/>
        <item x="191"/>
        <item x="54"/>
        <item x="95"/>
        <item x="83"/>
        <item x="128"/>
        <item x="222"/>
        <item x="87"/>
        <item x="190"/>
        <item x="181"/>
        <item x="17"/>
        <item x="35"/>
        <item x="53"/>
        <item x="230"/>
        <item x="130"/>
        <item x="50"/>
        <item x="22"/>
        <item x="73"/>
        <item x="89"/>
        <item x="46"/>
        <item x="131"/>
        <item x="56"/>
        <item x="199"/>
        <item x="212"/>
        <item x="186"/>
        <item x="60"/>
        <item x="32"/>
        <item x="223"/>
        <item x="65"/>
        <item x="121"/>
        <item x="57"/>
        <item x="68"/>
        <item x="114"/>
        <item x="183"/>
        <item x="97"/>
        <item x="204"/>
        <item x="48"/>
        <item x="80"/>
        <item x="34"/>
        <item x="245"/>
        <item x="231"/>
        <item x="211"/>
        <item x="137"/>
        <item x="52"/>
        <item x="235"/>
        <item x="173"/>
        <item x="184"/>
        <item x="75"/>
        <item x="16"/>
        <item x="248"/>
        <item x="246"/>
        <item x="104"/>
        <item x="143"/>
        <item x="6"/>
        <item x="2"/>
        <item x="220"/>
        <item x="141"/>
        <item x="41"/>
        <item x="176"/>
        <item x="117"/>
        <item x="96"/>
        <item x="40"/>
        <item x="71"/>
        <item x="217"/>
        <item x="210"/>
        <item x="127"/>
        <item x="5"/>
        <item x="239"/>
        <item x="36"/>
        <item x="145"/>
        <item x="238"/>
        <item x="129"/>
        <item x="234"/>
        <item x="242"/>
        <item x="98"/>
        <item x="161"/>
        <item x="148"/>
        <item x="139"/>
        <item x="147"/>
        <item x="77"/>
        <item x="192"/>
        <item x="28"/>
        <item x="241"/>
        <item x="90"/>
        <item x="151"/>
        <item x="240"/>
        <item x="229"/>
        <item x="31"/>
        <item x="105"/>
        <item x="55"/>
        <item x="214"/>
        <item x="10"/>
        <item x="100"/>
        <item x="23"/>
        <item x="228"/>
        <item x="92"/>
        <item x="206"/>
        <item x="227"/>
        <item x="194"/>
        <item x="112"/>
        <item x="33"/>
        <item x="118"/>
        <item x="140"/>
        <item x="152"/>
        <item x="193"/>
        <item x="81"/>
        <item x="61"/>
        <item x="111"/>
        <item x="171"/>
        <item x="62"/>
        <item x="58"/>
        <item x="209"/>
        <item x="215"/>
        <item x="150"/>
        <item x="195"/>
        <item x="15"/>
        <item x="99"/>
        <item x="124"/>
        <item x="133"/>
        <item x="134"/>
        <item x="116"/>
        <item x="113"/>
        <item x="244"/>
        <item x="179"/>
        <item x="162"/>
        <item x="14"/>
        <item x="119"/>
        <item x="198"/>
        <item x="153"/>
        <item x="1"/>
        <item x="76"/>
        <item x="146"/>
        <item x="126"/>
        <item x="180"/>
        <item x="3"/>
        <item x="237"/>
        <item x="109"/>
        <item x="218"/>
        <item x="221"/>
        <item x="157"/>
        <item x="18"/>
        <item x="213"/>
        <item x="170"/>
        <item x="208"/>
        <item x="155"/>
        <item x="163"/>
        <item x="166"/>
        <item x="160"/>
        <item x="103"/>
        <item x="175"/>
        <item x="200"/>
        <item x="85"/>
        <item x="82"/>
        <item x="196"/>
        <item x="107"/>
        <item x="187"/>
        <item x="93"/>
        <item x="174"/>
        <item x="25"/>
        <item x="205"/>
        <item x="9"/>
        <item x="243"/>
        <item x="45"/>
        <item x="156"/>
        <item x="21"/>
        <item x="154"/>
        <item x="91"/>
        <item x="27"/>
        <item x="207"/>
        <item x="47"/>
        <item x="8"/>
        <item x="49"/>
        <item x="122"/>
        <item x="66"/>
        <item x="88"/>
        <item x="225"/>
        <item x="216"/>
        <item x="182"/>
        <item x="106"/>
        <item x="110"/>
        <item x="142"/>
        <item x="164"/>
        <item x="232"/>
        <item x="78"/>
        <item x="132"/>
        <item x="42"/>
        <item x="219"/>
        <item x="43"/>
        <item x="159"/>
        <item x="167"/>
        <item x="44"/>
        <item x="108"/>
        <item x="38"/>
        <item x="138"/>
        <item x="189"/>
        <item x="201"/>
        <item x="188"/>
        <item x="144"/>
        <item x="101"/>
        <item x="197"/>
        <item x="169"/>
        <item x="13"/>
        <item x="236"/>
        <item x="135"/>
        <item x="115"/>
        <item x="149"/>
        <item x="125"/>
        <item x="158"/>
        <item x="37"/>
        <item x="202"/>
        <item x="72"/>
        <item x="120"/>
        <item x="4"/>
        <item x="67"/>
        <item x="74"/>
        <item x="69"/>
        <item x="102"/>
        <item x="51"/>
        <item x="64"/>
        <item x="226"/>
        <item x="165"/>
        <item x="7"/>
        <item x="0"/>
        <item x="168"/>
        <item x="29"/>
        <item x="79"/>
        <item x="178"/>
        <item x="39"/>
        <item t="default"/>
      </items>
    </pivotField>
    <pivotField showAll="0">
      <items count="7">
        <item h="1" x="1"/>
        <item h="1" x="3"/>
        <item h="1" x="5"/>
        <item h="1" x="2"/>
        <item x="0"/>
        <item h="1" x="4"/>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9"/>
    </i>
    <i>
      <x v="19"/>
    </i>
    <i>
      <x v="105"/>
    </i>
    <i>
      <x v="218"/>
    </i>
    <i>
      <x v="226"/>
    </i>
  </rowItems>
  <colItems count="1">
    <i/>
  </colItems>
  <dataFields count="1">
    <dataField name="Total Sales " fld="8" baseField="1" baseItem="9"/>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3E73130-2E30-4269-A97F-FB0B36DD3874}"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251">
        <item x="24"/>
        <item x="233"/>
        <item x="11"/>
        <item x="12"/>
        <item x="247"/>
        <item x="185"/>
        <item x="84"/>
        <item x="249"/>
        <item x="30"/>
        <item x="59"/>
        <item x="123"/>
        <item x="70"/>
        <item x="224"/>
        <item x="86"/>
        <item x="94"/>
        <item x="63"/>
        <item x="203"/>
        <item x="172"/>
        <item x="177"/>
        <item x="26"/>
        <item x="20"/>
        <item x="136"/>
        <item x="19"/>
        <item x="191"/>
        <item x="54"/>
        <item x="95"/>
        <item x="83"/>
        <item x="128"/>
        <item x="222"/>
        <item x="87"/>
        <item x="190"/>
        <item x="181"/>
        <item x="17"/>
        <item x="35"/>
        <item x="53"/>
        <item x="230"/>
        <item x="130"/>
        <item x="50"/>
        <item x="22"/>
        <item x="73"/>
        <item x="89"/>
        <item x="46"/>
        <item x="131"/>
        <item x="56"/>
        <item x="199"/>
        <item x="212"/>
        <item x="186"/>
        <item x="60"/>
        <item x="32"/>
        <item x="223"/>
        <item x="65"/>
        <item x="121"/>
        <item x="57"/>
        <item x="68"/>
        <item x="114"/>
        <item x="183"/>
        <item x="97"/>
        <item x="204"/>
        <item x="48"/>
        <item x="80"/>
        <item x="34"/>
        <item x="245"/>
        <item x="231"/>
        <item x="211"/>
        <item x="137"/>
        <item x="52"/>
        <item x="235"/>
        <item x="173"/>
        <item x="184"/>
        <item x="75"/>
        <item x="16"/>
        <item x="248"/>
        <item x="246"/>
        <item x="104"/>
        <item x="143"/>
        <item x="6"/>
        <item x="2"/>
        <item x="220"/>
        <item x="141"/>
        <item x="41"/>
        <item x="176"/>
        <item x="117"/>
        <item x="96"/>
        <item x="40"/>
        <item x="71"/>
        <item x="217"/>
        <item x="210"/>
        <item x="127"/>
        <item x="5"/>
        <item x="239"/>
        <item x="36"/>
        <item x="145"/>
        <item x="238"/>
        <item x="129"/>
        <item x="234"/>
        <item x="242"/>
        <item x="98"/>
        <item x="161"/>
        <item x="148"/>
        <item x="139"/>
        <item x="147"/>
        <item x="77"/>
        <item x="192"/>
        <item x="28"/>
        <item x="241"/>
        <item x="90"/>
        <item x="151"/>
        <item x="240"/>
        <item x="229"/>
        <item x="31"/>
        <item x="105"/>
        <item x="55"/>
        <item x="214"/>
        <item x="10"/>
        <item x="100"/>
        <item x="23"/>
        <item x="228"/>
        <item x="92"/>
        <item x="206"/>
        <item x="227"/>
        <item x="194"/>
        <item x="112"/>
        <item x="33"/>
        <item x="118"/>
        <item x="140"/>
        <item x="152"/>
        <item x="193"/>
        <item x="81"/>
        <item x="61"/>
        <item x="111"/>
        <item x="171"/>
        <item x="62"/>
        <item x="58"/>
        <item x="209"/>
        <item x="215"/>
        <item x="150"/>
        <item x="195"/>
        <item x="15"/>
        <item x="99"/>
        <item x="124"/>
        <item x="133"/>
        <item x="134"/>
        <item x="116"/>
        <item x="113"/>
        <item x="244"/>
        <item x="179"/>
        <item x="162"/>
        <item x="14"/>
        <item x="119"/>
        <item x="198"/>
        <item x="153"/>
        <item x="1"/>
        <item x="76"/>
        <item x="146"/>
        <item x="126"/>
        <item x="180"/>
        <item x="3"/>
        <item x="237"/>
        <item x="109"/>
        <item x="218"/>
        <item x="221"/>
        <item x="157"/>
        <item x="18"/>
        <item x="213"/>
        <item x="170"/>
        <item x="208"/>
        <item x="155"/>
        <item x="163"/>
        <item x="166"/>
        <item x="160"/>
        <item x="103"/>
        <item x="175"/>
        <item x="200"/>
        <item x="85"/>
        <item x="82"/>
        <item x="196"/>
        <item x="107"/>
        <item x="187"/>
        <item x="93"/>
        <item x="174"/>
        <item x="25"/>
        <item x="205"/>
        <item x="9"/>
        <item x="243"/>
        <item x="45"/>
        <item x="156"/>
        <item x="21"/>
        <item x="154"/>
        <item x="91"/>
        <item x="27"/>
        <item x="207"/>
        <item x="47"/>
        <item x="8"/>
        <item x="49"/>
        <item x="122"/>
        <item x="66"/>
        <item x="88"/>
        <item x="225"/>
        <item x="216"/>
        <item x="182"/>
        <item x="106"/>
        <item x="110"/>
        <item x="142"/>
        <item x="164"/>
        <item x="232"/>
        <item x="78"/>
        <item x="132"/>
        <item x="42"/>
        <item x="219"/>
        <item x="43"/>
        <item x="159"/>
        <item x="167"/>
        <item x="44"/>
        <item x="108"/>
        <item x="38"/>
        <item x="138"/>
        <item x="189"/>
        <item x="201"/>
        <item x="188"/>
        <item x="144"/>
        <item x="101"/>
        <item x="197"/>
        <item x="169"/>
        <item x="13"/>
        <item x="236"/>
        <item x="135"/>
        <item x="115"/>
        <item x="149"/>
        <item x="125"/>
        <item x="158"/>
        <item x="37"/>
        <item x="202"/>
        <item x="72"/>
        <item x="120"/>
        <item x="4"/>
        <item x="67"/>
        <item x="74"/>
        <item x="69"/>
        <item x="102"/>
        <item x="51"/>
        <item x="64"/>
        <item x="226"/>
        <item x="165"/>
        <item x="7"/>
        <item x="0"/>
        <item x="168"/>
        <item x="29"/>
        <item x="79"/>
        <item x="178"/>
        <item x="39"/>
        <item t="default"/>
      </items>
    </pivotField>
    <pivotField showAll="0">
      <items count="7">
        <item h="1" x="1"/>
        <item h="1" x="3"/>
        <item h="1" x="5"/>
        <item h="1" x="2"/>
        <item x="0"/>
        <item h="1" x="4"/>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5"/>
    </i>
    <i>
      <x v="71"/>
    </i>
    <i>
      <x v="80"/>
    </i>
    <i>
      <x v="169"/>
    </i>
    <i>
      <x v="222"/>
    </i>
  </rowItems>
  <colItems count="1">
    <i/>
  </colItems>
  <dataFields count="1">
    <dataField name="Total Sales " fld="8" baseField="1" baseItem="9"/>
  </dataField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90313D7-CEE1-4963-A9FF-FF2820A3D1B6}"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G3:H8" firstHeaderRow="1" firstDataRow="1" firstDataCol="1"/>
  <pivotFields count="12">
    <pivotField showAll="0"/>
    <pivotField axis="axisRow" showAll="0" measureFilter="1">
      <items count="251">
        <item x="24"/>
        <item x="233"/>
        <item x="11"/>
        <item x="12"/>
        <item x="247"/>
        <item x="185"/>
        <item x="84"/>
        <item x="249"/>
        <item x="30"/>
        <item x="59"/>
        <item x="123"/>
        <item x="70"/>
        <item x="224"/>
        <item x="86"/>
        <item x="94"/>
        <item x="63"/>
        <item x="203"/>
        <item x="172"/>
        <item x="177"/>
        <item x="26"/>
        <item x="20"/>
        <item x="136"/>
        <item x="19"/>
        <item x="191"/>
        <item x="54"/>
        <item x="95"/>
        <item x="83"/>
        <item x="128"/>
        <item x="222"/>
        <item x="87"/>
        <item x="190"/>
        <item x="181"/>
        <item x="17"/>
        <item x="35"/>
        <item x="53"/>
        <item x="230"/>
        <item x="130"/>
        <item x="50"/>
        <item x="22"/>
        <item x="73"/>
        <item x="89"/>
        <item x="46"/>
        <item x="131"/>
        <item x="56"/>
        <item x="199"/>
        <item x="212"/>
        <item x="186"/>
        <item x="60"/>
        <item x="32"/>
        <item x="223"/>
        <item x="65"/>
        <item x="121"/>
        <item x="57"/>
        <item x="68"/>
        <item x="114"/>
        <item x="183"/>
        <item x="97"/>
        <item x="204"/>
        <item x="48"/>
        <item x="80"/>
        <item x="34"/>
        <item x="245"/>
        <item x="231"/>
        <item x="211"/>
        <item x="137"/>
        <item x="52"/>
        <item x="235"/>
        <item x="173"/>
        <item x="184"/>
        <item x="75"/>
        <item x="16"/>
        <item x="248"/>
        <item x="246"/>
        <item x="104"/>
        <item x="143"/>
        <item x="6"/>
        <item x="2"/>
        <item x="220"/>
        <item x="141"/>
        <item x="41"/>
        <item x="176"/>
        <item x="117"/>
        <item x="96"/>
        <item x="40"/>
        <item x="71"/>
        <item x="217"/>
        <item x="210"/>
        <item x="127"/>
        <item x="5"/>
        <item x="239"/>
        <item x="36"/>
        <item x="145"/>
        <item x="238"/>
        <item x="129"/>
        <item x="234"/>
        <item x="242"/>
        <item x="98"/>
        <item x="161"/>
        <item x="148"/>
        <item x="139"/>
        <item x="147"/>
        <item x="77"/>
        <item x="192"/>
        <item x="28"/>
        <item x="241"/>
        <item x="90"/>
        <item x="151"/>
        <item x="240"/>
        <item x="229"/>
        <item x="31"/>
        <item x="105"/>
        <item x="55"/>
        <item x="214"/>
        <item x="10"/>
        <item x="100"/>
        <item x="23"/>
        <item x="228"/>
        <item x="92"/>
        <item x="206"/>
        <item x="227"/>
        <item x="194"/>
        <item x="112"/>
        <item x="33"/>
        <item x="118"/>
        <item x="140"/>
        <item x="152"/>
        <item x="193"/>
        <item x="81"/>
        <item x="61"/>
        <item x="111"/>
        <item x="171"/>
        <item x="62"/>
        <item x="58"/>
        <item x="209"/>
        <item x="215"/>
        <item x="150"/>
        <item x="195"/>
        <item x="15"/>
        <item x="99"/>
        <item x="124"/>
        <item x="133"/>
        <item x="134"/>
        <item x="116"/>
        <item x="113"/>
        <item x="244"/>
        <item x="179"/>
        <item x="162"/>
        <item x="14"/>
        <item x="119"/>
        <item x="198"/>
        <item x="153"/>
        <item x="1"/>
        <item x="76"/>
        <item x="146"/>
        <item x="126"/>
        <item x="180"/>
        <item x="3"/>
        <item x="237"/>
        <item x="109"/>
        <item x="218"/>
        <item x="221"/>
        <item x="157"/>
        <item x="18"/>
        <item x="213"/>
        <item x="170"/>
        <item x="208"/>
        <item x="155"/>
        <item x="163"/>
        <item x="166"/>
        <item x="160"/>
        <item x="103"/>
        <item x="175"/>
        <item x="200"/>
        <item x="85"/>
        <item x="82"/>
        <item x="196"/>
        <item x="107"/>
        <item x="187"/>
        <item x="93"/>
        <item x="174"/>
        <item x="25"/>
        <item x="205"/>
        <item x="9"/>
        <item x="243"/>
        <item x="45"/>
        <item x="156"/>
        <item x="21"/>
        <item x="154"/>
        <item x="91"/>
        <item x="27"/>
        <item x="207"/>
        <item x="47"/>
        <item x="8"/>
        <item x="49"/>
        <item x="122"/>
        <item x="66"/>
        <item x="88"/>
        <item x="225"/>
        <item x="216"/>
        <item x="182"/>
        <item x="106"/>
        <item x="110"/>
        <item x="142"/>
        <item x="164"/>
        <item x="232"/>
        <item x="78"/>
        <item x="132"/>
        <item x="42"/>
        <item x="219"/>
        <item x="43"/>
        <item x="159"/>
        <item x="167"/>
        <item x="44"/>
        <item x="108"/>
        <item x="38"/>
        <item x="138"/>
        <item x="189"/>
        <item x="201"/>
        <item x="188"/>
        <item x="144"/>
        <item x="101"/>
        <item x="197"/>
        <item x="169"/>
        <item x="13"/>
        <item x="236"/>
        <item x="135"/>
        <item x="115"/>
        <item x="149"/>
        <item x="125"/>
        <item x="158"/>
        <item x="37"/>
        <item x="202"/>
        <item x="72"/>
        <item x="120"/>
        <item x="4"/>
        <item x="67"/>
        <item x="74"/>
        <item x="69"/>
        <item x="102"/>
        <item x="51"/>
        <item x="64"/>
        <item x="226"/>
        <item x="165"/>
        <item x="7"/>
        <item x="0"/>
        <item x="168"/>
        <item x="29"/>
        <item x="79"/>
        <item x="178"/>
        <item x="39"/>
        <item t="default"/>
      </items>
    </pivotField>
    <pivotField showAll="0">
      <items count="7">
        <item h="1" x="1"/>
        <item h="1" x="3"/>
        <item h="1" x="5"/>
        <item h="1" x="2"/>
        <item x="0"/>
        <item h="1" x="4"/>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9"/>
    </i>
    <i>
      <x v="19"/>
    </i>
    <i>
      <x v="105"/>
    </i>
    <i>
      <x v="218"/>
    </i>
    <i>
      <x v="226"/>
    </i>
  </rowItems>
  <colItems count="1">
    <i/>
  </colItems>
  <dataFields count="1">
    <dataField name="Target Hit % "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9"/>
          </reference>
        </references>
      </pivotArea>
    </chartFormat>
    <chartFormat chart="0" format="2">
      <pivotArea type="data" outline="0" fieldPosition="0">
        <references count="2">
          <reference field="4294967294" count="1" selected="0">
            <x v="0"/>
          </reference>
          <reference field="1" count="1" selected="0">
            <x v="101"/>
          </reference>
        </references>
      </pivotArea>
    </chartFormat>
    <chartFormat chart="0" format="3">
      <pivotArea type="data" outline="0" fieldPosition="0">
        <references count="2">
          <reference field="4294967294" count="1" selected="0">
            <x v="0"/>
          </reference>
          <reference field="1" count="1" selected="0">
            <x v="121"/>
          </reference>
        </references>
      </pivotArea>
    </chartFormat>
    <chartFormat chart="0" format="4">
      <pivotArea type="data" outline="0" fieldPosition="0">
        <references count="2">
          <reference field="4294967294" count="1" selected="0">
            <x v="0"/>
          </reference>
          <reference field="1" count="1" selected="0">
            <x v="225"/>
          </reference>
        </references>
      </pivotArea>
    </chartFormat>
    <chartFormat chart="0" format="5">
      <pivotArea type="data" outline="0" fieldPosition="0">
        <references count="2">
          <reference field="4294967294" count="1" selected="0">
            <x v="0"/>
          </reference>
          <reference field="1" count="1" selected="0">
            <x v="226"/>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C7B9AE4-B796-42C0-969D-1B81FA2F1CA4}"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251">
        <item x="24"/>
        <item x="233"/>
        <item x="11"/>
        <item x="12"/>
        <item x="247"/>
        <item x="185"/>
        <item x="84"/>
        <item x="249"/>
        <item x="30"/>
        <item x="59"/>
        <item x="123"/>
        <item x="70"/>
        <item x="224"/>
        <item x="86"/>
        <item x="94"/>
        <item x="63"/>
        <item x="203"/>
        <item x="172"/>
        <item x="177"/>
        <item x="26"/>
        <item x="20"/>
        <item x="136"/>
        <item x="19"/>
        <item x="191"/>
        <item x="54"/>
        <item x="95"/>
        <item x="83"/>
        <item x="128"/>
        <item x="222"/>
        <item x="87"/>
        <item x="190"/>
        <item x="181"/>
        <item x="17"/>
        <item x="35"/>
        <item x="53"/>
        <item x="230"/>
        <item x="130"/>
        <item x="50"/>
        <item x="22"/>
        <item x="73"/>
        <item x="89"/>
        <item x="46"/>
        <item x="131"/>
        <item x="56"/>
        <item x="199"/>
        <item x="212"/>
        <item x="186"/>
        <item x="60"/>
        <item x="32"/>
        <item x="223"/>
        <item x="65"/>
        <item x="121"/>
        <item x="57"/>
        <item x="68"/>
        <item x="114"/>
        <item x="183"/>
        <item x="97"/>
        <item x="204"/>
        <item x="48"/>
        <item x="80"/>
        <item x="34"/>
        <item x="245"/>
        <item x="231"/>
        <item x="211"/>
        <item x="137"/>
        <item x="52"/>
        <item x="235"/>
        <item x="173"/>
        <item x="184"/>
        <item x="75"/>
        <item x="16"/>
        <item x="248"/>
        <item x="246"/>
        <item x="104"/>
        <item x="143"/>
        <item x="6"/>
        <item x="2"/>
        <item x="220"/>
        <item x="141"/>
        <item x="41"/>
        <item x="176"/>
        <item x="117"/>
        <item x="96"/>
        <item x="40"/>
        <item x="71"/>
        <item x="217"/>
        <item x="210"/>
        <item x="127"/>
        <item x="5"/>
        <item x="239"/>
        <item x="36"/>
        <item x="145"/>
        <item x="238"/>
        <item x="129"/>
        <item x="234"/>
        <item x="242"/>
        <item x="98"/>
        <item x="161"/>
        <item x="148"/>
        <item x="139"/>
        <item x="147"/>
        <item x="77"/>
        <item x="192"/>
        <item x="28"/>
        <item x="241"/>
        <item x="90"/>
        <item x="151"/>
        <item x="240"/>
        <item x="229"/>
        <item x="31"/>
        <item x="105"/>
        <item x="55"/>
        <item x="214"/>
        <item x="10"/>
        <item x="100"/>
        <item x="23"/>
        <item x="228"/>
        <item x="92"/>
        <item x="206"/>
        <item x="227"/>
        <item x="194"/>
        <item x="112"/>
        <item x="33"/>
        <item x="118"/>
        <item x="140"/>
        <item x="152"/>
        <item x="193"/>
        <item x="81"/>
        <item x="61"/>
        <item x="111"/>
        <item x="171"/>
        <item x="62"/>
        <item x="58"/>
        <item x="209"/>
        <item x="215"/>
        <item x="150"/>
        <item x="195"/>
        <item x="15"/>
        <item x="99"/>
        <item x="124"/>
        <item x="133"/>
        <item x="134"/>
        <item x="116"/>
        <item x="113"/>
        <item x="244"/>
        <item x="179"/>
        <item x="162"/>
        <item x="14"/>
        <item x="119"/>
        <item x="198"/>
        <item x="153"/>
        <item x="1"/>
        <item x="76"/>
        <item x="146"/>
        <item x="126"/>
        <item x="180"/>
        <item x="3"/>
        <item x="237"/>
        <item x="109"/>
        <item x="218"/>
        <item x="221"/>
        <item x="157"/>
        <item x="18"/>
        <item x="213"/>
        <item x="170"/>
        <item x="208"/>
        <item x="155"/>
        <item x="163"/>
        <item x="166"/>
        <item x="160"/>
        <item x="103"/>
        <item x="175"/>
        <item x="200"/>
        <item x="85"/>
        <item x="82"/>
        <item x="196"/>
        <item x="107"/>
        <item x="187"/>
        <item x="93"/>
        <item x="174"/>
        <item x="25"/>
        <item x="205"/>
        <item x="9"/>
        <item x="243"/>
        <item x="45"/>
        <item x="156"/>
        <item x="21"/>
        <item x="154"/>
        <item x="91"/>
        <item x="27"/>
        <item x="207"/>
        <item x="47"/>
        <item x="8"/>
        <item x="49"/>
        <item x="122"/>
        <item x="66"/>
        <item x="88"/>
        <item x="225"/>
        <item x="216"/>
        <item x="182"/>
        <item x="106"/>
        <item x="110"/>
        <item x="142"/>
        <item x="164"/>
        <item x="232"/>
        <item x="78"/>
        <item x="132"/>
        <item x="42"/>
        <item x="219"/>
        <item x="43"/>
        <item x="159"/>
        <item x="167"/>
        <item x="44"/>
        <item x="108"/>
        <item x="38"/>
        <item x="138"/>
        <item x="189"/>
        <item x="201"/>
        <item x="188"/>
        <item x="144"/>
        <item x="101"/>
        <item x="197"/>
        <item x="169"/>
        <item x="13"/>
        <item x="236"/>
        <item x="135"/>
        <item x="115"/>
        <item x="149"/>
        <item x="125"/>
        <item x="158"/>
        <item x="37"/>
        <item x="202"/>
        <item x="72"/>
        <item x="120"/>
        <item x="4"/>
        <item x="67"/>
        <item x="74"/>
        <item x="69"/>
        <item x="102"/>
        <item x="51"/>
        <item x="64"/>
        <item x="226"/>
        <item x="165"/>
        <item x="7"/>
        <item x="0"/>
        <item x="168"/>
        <item x="29"/>
        <item x="79"/>
        <item x="178"/>
        <item x="39"/>
        <item t="default"/>
      </items>
    </pivotField>
    <pivotField showAll="0">
      <items count="7">
        <item h="1" x="1"/>
        <item h="1" x="3"/>
        <item h="1" x="5"/>
        <item h="1" x="2"/>
        <item x="0"/>
        <item h="1" x="4"/>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5"/>
    </i>
    <i>
      <x v="71"/>
    </i>
    <i>
      <x v="80"/>
    </i>
    <i>
      <x v="169"/>
    </i>
    <i>
      <x v="222"/>
    </i>
  </rowItems>
  <colItems count="1">
    <i/>
  </colItems>
  <dataFields count="1">
    <dataField name="Away From Target % " fld="11" baseField="1" baseItem="1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9E14EBE-2A5B-4136-9B7F-DBC8E3A59979}" sourceName="Region">
  <pivotTables>
    <pivotTable tabId="2" name="PivotTable1"/>
    <pivotTable tabId="2" name="PivotTable3"/>
    <pivotTable tabId="2" name="PivotTable4"/>
    <pivotTable tabId="2" name="PivotTable2"/>
  </pivotTables>
  <data>
    <tabular pivotCacheId="1938298600">
      <items count="6">
        <i x="1"/>
        <i x="3"/>
        <i x="5"/>
        <i x="2"/>
        <i x="0" s="1"/>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D05691B-D60D-43BC-B40C-D37BE5C10759}" cache="Slicer_Region" caption="Region" columnCount="6" showCaption="0" style="Slicer Style 1" rowHeight="23495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E70D-E302-4505-8988-A0E0774CFF76}">
  <sheetPr codeName="Sheet1"/>
  <dimension ref="A1:K19"/>
  <sheetViews>
    <sheetView showGridLines="0" showRowColHeaders="0" tabSelected="1" zoomScale="120" zoomScaleNormal="120" workbookViewId="0">
      <selection activeCell="M4" sqref="M4"/>
    </sheetView>
  </sheetViews>
  <sheetFormatPr defaultRowHeight="14.4" x14ac:dyDescent="0.3"/>
  <cols>
    <col min="1" max="1" width="22.5546875" customWidth="1"/>
    <col min="2" max="2" width="10.33203125" bestFit="1" customWidth="1"/>
    <col min="3" max="3" width="2.88671875" customWidth="1"/>
    <col min="4" max="4" width="19.44140625" bestFit="1" customWidth="1"/>
    <col min="5" max="5" width="10.21875" bestFit="1" customWidth="1"/>
    <col min="6" max="6" width="2.33203125" customWidth="1"/>
    <col min="7" max="7" width="19.5546875" customWidth="1"/>
    <col min="8" max="8" width="13.21875" customWidth="1"/>
    <col min="9" max="9" width="2.44140625" customWidth="1"/>
    <col min="10" max="10" width="19.44140625" bestFit="1" customWidth="1"/>
    <col min="11" max="11" width="18.33203125" bestFit="1" customWidth="1"/>
  </cols>
  <sheetData>
    <row r="1" spans="1:11" ht="27" customHeight="1" x14ac:dyDescent="0.3">
      <c r="A1" s="7" t="b">
        <v>1</v>
      </c>
      <c r="B1" s="7"/>
      <c r="C1" s="7"/>
      <c r="D1" s="7" t="b">
        <v>1</v>
      </c>
      <c r="E1" s="7"/>
      <c r="F1" s="7"/>
      <c r="G1" s="7" t="b">
        <v>1</v>
      </c>
      <c r="H1" s="7"/>
      <c r="I1" s="7"/>
      <c r="J1" s="7" t="b">
        <v>1</v>
      </c>
      <c r="K1" s="7"/>
    </row>
    <row r="2" spans="1:11" ht="45" customHeight="1" x14ac:dyDescent="0.3">
      <c r="A2" s="7"/>
      <c r="B2" s="7"/>
      <c r="C2" s="7"/>
      <c r="D2" s="7"/>
      <c r="E2" s="7"/>
      <c r="F2" s="7"/>
      <c r="G2" s="7"/>
      <c r="H2" s="7"/>
      <c r="I2" s="7"/>
      <c r="J2" s="7"/>
      <c r="K2" s="7"/>
    </row>
    <row r="3" spans="1:11" x14ac:dyDescent="0.3">
      <c r="A3" s="4" t="s">
        <v>0</v>
      </c>
      <c r="B3" t="s">
        <v>517</v>
      </c>
      <c r="C3" s="7"/>
      <c r="D3" s="4" t="s">
        <v>0</v>
      </c>
      <c r="E3" t="s">
        <v>517</v>
      </c>
      <c r="F3" s="7"/>
      <c r="G3" s="4" t="s">
        <v>0</v>
      </c>
      <c r="H3" t="s">
        <v>518</v>
      </c>
      <c r="I3" s="7"/>
      <c r="J3" s="4" t="s">
        <v>0</v>
      </c>
      <c r="K3" t="s">
        <v>519</v>
      </c>
    </row>
    <row r="4" spans="1:11" x14ac:dyDescent="0.3">
      <c r="A4" s="5" t="s">
        <v>320</v>
      </c>
      <c r="B4">
        <v>417</v>
      </c>
      <c r="C4" s="7"/>
      <c r="D4" s="5" t="s">
        <v>356</v>
      </c>
      <c r="E4">
        <v>166</v>
      </c>
      <c r="F4" s="7"/>
      <c r="G4" s="5" t="s">
        <v>320</v>
      </c>
      <c r="H4" s="6">
        <v>0.83399999999999996</v>
      </c>
      <c r="I4" s="7"/>
      <c r="J4" s="5" t="s">
        <v>356</v>
      </c>
      <c r="K4" s="6">
        <v>0.66799999999999993</v>
      </c>
    </row>
    <row r="5" spans="1:11" x14ac:dyDescent="0.3">
      <c r="A5" s="5" t="s">
        <v>287</v>
      </c>
      <c r="B5">
        <v>373</v>
      </c>
      <c r="C5" s="7"/>
      <c r="D5" s="5" t="s">
        <v>509</v>
      </c>
      <c r="E5">
        <v>186</v>
      </c>
      <c r="F5" s="7"/>
      <c r="G5" s="5" t="s">
        <v>287</v>
      </c>
      <c r="H5" s="6">
        <v>0.746</v>
      </c>
      <c r="I5" s="7"/>
      <c r="J5" s="5" t="s">
        <v>509</v>
      </c>
      <c r="K5" s="6">
        <v>0.628</v>
      </c>
    </row>
    <row r="6" spans="1:11" x14ac:dyDescent="0.3">
      <c r="A6" s="5" t="s">
        <v>351</v>
      </c>
      <c r="B6">
        <v>368</v>
      </c>
      <c r="C6" s="7"/>
      <c r="D6" s="5" t="s">
        <v>437</v>
      </c>
      <c r="E6">
        <v>184</v>
      </c>
      <c r="F6" s="7"/>
      <c r="G6" s="5" t="s">
        <v>351</v>
      </c>
      <c r="H6" s="6">
        <v>0.73599999999999999</v>
      </c>
      <c r="I6" s="7"/>
      <c r="J6" s="5" t="s">
        <v>437</v>
      </c>
      <c r="K6" s="6">
        <v>0.63200000000000001</v>
      </c>
    </row>
    <row r="7" spans="1:11" x14ac:dyDescent="0.3">
      <c r="A7" s="5" t="s">
        <v>449</v>
      </c>
      <c r="B7">
        <v>395</v>
      </c>
      <c r="C7" s="7"/>
      <c r="D7" s="5" t="s">
        <v>421</v>
      </c>
      <c r="E7">
        <v>189</v>
      </c>
      <c r="F7" s="7"/>
      <c r="G7" s="5" t="s">
        <v>449</v>
      </c>
      <c r="H7" s="6">
        <v>0.79</v>
      </c>
      <c r="I7" s="7"/>
      <c r="J7" s="5" t="s">
        <v>421</v>
      </c>
      <c r="K7" s="6">
        <v>0.622</v>
      </c>
    </row>
    <row r="8" spans="1:11" x14ac:dyDescent="0.3">
      <c r="A8" s="5" t="s">
        <v>376</v>
      </c>
      <c r="B8">
        <v>403</v>
      </c>
      <c r="C8" s="7"/>
      <c r="D8" s="5" t="s">
        <v>430</v>
      </c>
      <c r="E8">
        <v>174</v>
      </c>
      <c r="F8" s="7"/>
      <c r="G8" s="5" t="s">
        <v>376</v>
      </c>
      <c r="H8" s="6">
        <v>0.80600000000000005</v>
      </c>
      <c r="I8" s="7"/>
      <c r="J8" s="5" t="s">
        <v>430</v>
      </c>
      <c r="K8" s="6">
        <v>0.65200000000000002</v>
      </c>
    </row>
    <row r="9" spans="1:11" x14ac:dyDescent="0.3">
      <c r="A9" s="7"/>
      <c r="B9" s="7"/>
      <c r="C9" s="7"/>
      <c r="F9" s="7"/>
      <c r="G9" s="7"/>
      <c r="H9" s="7"/>
      <c r="I9" s="7"/>
    </row>
    <row r="10" spans="1:11" x14ac:dyDescent="0.3">
      <c r="A10" s="7"/>
      <c r="B10" s="7"/>
      <c r="C10" s="7"/>
      <c r="D10" s="7"/>
      <c r="E10" s="7"/>
      <c r="F10" s="7"/>
      <c r="G10" s="7"/>
      <c r="H10" s="7"/>
      <c r="I10" s="7"/>
      <c r="J10" s="7"/>
      <c r="K10" s="7"/>
    </row>
    <row r="11" spans="1:11" x14ac:dyDescent="0.3">
      <c r="A11" s="7"/>
      <c r="B11" s="7"/>
      <c r="C11" s="7"/>
      <c r="D11" s="7"/>
      <c r="E11" s="7"/>
      <c r="F11" s="7"/>
      <c r="G11" s="7"/>
      <c r="H11" s="7"/>
      <c r="I11" s="7"/>
      <c r="J11" s="7"/>
      <c r="K11" s="7"/>
    </row>
    <row r="12" spans="1:11" x14ac:dyDescent="0.3">
      <c r="A12" s="7"/>
      <c r="B12" s="7"/>
      <c r="C12" s="7"/>
      <c r="D12" s="7"/>
      <c r="E12" s="7"/>
      <c r="F12" s="7"/>
      <c r="G12" s="7"/>
      <c r="H12" s="7"/>
      <c r="I12" s="7"/>
      <c r="J12" s="7"/>
      <c r="K12" s="7"/>
    </row>
    <row r="13" spans="1:11" x14ac:dyDescent="0.3">
      <c r="A13" s="7"/>
      <c r="B13" s="7"/>
      <c r="C13" s="7"/>
      <c r="D13" s="7"/>
      <c r="E13" s="7"/>
      <c r="F13" s="7"/>
      <c r="G13" s="7"/>
      <c r="H13" s="7"/>
      <c r="I13" s="7"/>
      <c r="J13" s="7"/>
      <c r="K13" s="7"/>
    </row>
    <row r="14" spans="1:11" x14ac:dyDescent="0.3">
      <c r="A14" s="7"/>
      <c r="B14" s="7"/>
      <c r="C14" s="7"/>
      <c r="D14" s="7"/>
      <c r="E14" s="7"/>
      <c r="F14" s="7"/>
      <c r="G14" s="7"/>
      <c r="H14" s="7"/>
      <c r="I14" s="7"/>
      <c r="J14" s="7"/>
      <c r="K14" s="7"/>
    </row>
    <row r="15" spans="1:11" x14ac:dyDescent="0.3">
      <c r="A15" s="7"/>
      <c r="B15" s="7"/>
      <c r="C15" s="7"/>
      <c r="D15" s="7"/>
      <c r="E15" s="7"/>
      <c r="F15" s="7"/>
      <c r="G15" s="7"/>
      <c r="H15" s="7"/>
      <c r="I15" s="7"/>
      <c r="J15" s="7"/>
      <c r="K15" s="7"/>
    </row>
    <row r="16" spans="1:11" x14ac:dyDescent="0.3">
      <c r="A16" s="7"/>
      <c r="B16" s="7"/>
      <c r="C16" s="7"/>
      <c r="D16" s="7"/>
      <c r="E16" s="7"/>
      <c r="F16" s="7"/>
      <c r="G16" s="7"/>
      <c r="H16" s="7"/>
      <c r="I16" s="7"/>
      <c r="J16" s="7"/>
      <c r="K16" s="7"/>
    </row>
    <row r="17" spans="1:11" x14ac:dyDescent="0.3">
      <c r="A17" s="7"/>
      <c r="B17" s="7"/>
      <c r="C17" s="7"/>
      <c r="D17" s="7"/>
      <c r="E17" s="7"/>
      <c r="F17" s="7"/>
      <c r="G17" s="7"/>
      <c r="H17" s="7"/>
      <c r="I17" s="7"/>
      <c r="J17" s="7"/>
      <c r="K17" s="7"/>
    </row>
    <row r="18" spans="1:11" x14ac:dyDescent="0.3">
      <c r="A18" s="7"/>
      <c r="B18" s="7"/>
      <c r="C18" s="7"/>
      <c r="D18" s="7"/>
      <c r="E18" s="7"/>
      <c r="F18" s="7"/>
      <c r="G18" s="7"/>
      <c r="H18" s="7"/>
      <c r="I18" s="7"/>
      <c r="J18" s="7"/>
      <c r="K18" s="7"/>
    </row>
    <row r="19" spans="1:11" x14ac:dyDescent="0.3">
      <c r="A19" s="7"/>
      <c r="B19" s="7"/>
      <c r="C19" s="7"/>
      <c r="D19" s="7"/>
      <c r="E19" s="7"/>
      <c r="F19" s="7"/>
      <c r="G19" s="7"/>
      <c r="H19" s="7"/>
      <c r="I19" s="7"/>
      <c r="J19" s="7"/>
      <c r="K19" s="7"/>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51" r:id="rId7" name="Check Box 3">
              <controlPr defaultSize="0" autoFill="0" autoLine="0" autoPict="0" macro="[0]!SlicerConnection">
                <anchor moveWithCells="1">
                  <from>
                    <xdr:col>0</xdr:col>
                    <xdr:colOff>449580</xdr:colOff>
                    <xdr:row>1</xdr:row>
                    <xdr:rowOff>220980</xdr:rowOff>
                  </from>
                  <to>
                    <xdr:col>1</xdr:col>
                    <xdr:colOff>137160</xdr:colOff>
                    <xdr:row>1</xdr:row>
                    <xdr:rowOff>441960</xdr:rowOff>
                  </to>
                </anchor>
              </controlPr>
            </control>
          </mc:Choice>
        </mc:AlternateContent>
        <mc:AlternateContent xmlns:mc="http://schemas.openxmlformats.org/markup-compatibility/2006">
          <mc:Choice Requires="x14">
            <control shapeId="2055" r:id="rId8" name="Check Box 7">
              <controlPr defaultSize="0" autoFill="0" autoLine="0" autoPict="0" macro="[0]!SlicerConnection">
                <anchor moveWithCells="1">
                  <from>
                    <xdr:col>3</xdr:col>
                    <xdr:colOff>350520</xdr:colOff>
                    <xdr:row>1</xdr:row>
                    <xdr:rowOff>220980</xdr:rowOff>
                  </from>
                  <to>
                    <xdr:col>4</xdr:col>
                    <xdr:colOff>251460</xdr:colOff>
                    <xdr:row>1</xdr:row>
                    <xdr:rowOff>441960</xdr:rowOff>
                  </to>
                </anchor>
              </controlPr>
            </control>
          </mc:Choice>
        </mc:AlternateContent>
        <mc:AlternateContent xmlns:mc="http://schemas.openxmlformats.org/markup-compatibility/2006">
          <mc:Choice Requires="x14">
            <control shapeId="2056" r:id="rId9" name="Check Box 8">
              <controlPr defaultSize="0" autoFill="0" autoLine="0" autoPict="0" macro="[0]!SlicerConnection">
                <anchor moveWithCells="1">
                  <from>
                    <xdr:col>6</xdr:col>
                    <xdr:colOff>457200</xdr:colOff>
                    <xdr:row>1</xdr:row>
                    <xdr:rowOff>213360</xdr:rowOff>
                  </from>
                  <to>
                    <xdr:col>7</xdr:col>
                    <xdr:colOff>350520</xdr:colOff>
                    <xdr:row>1</xdr:row>
                    <xdr:rowOff>434340</xdr:rowOff>
                  </to>
                </anchor>
              </controlPr>
            </control>
          </mc:Choice>
        </mc:AlternateContent>
        <mc:AlternateContent xmlns:mc="http://schemas.openxmlformats.org/markup-compatibility/2006">
          <mc:Choice Requires="x14">
            <control shapeId="2057" r:id="rId10" name="Check Box 9">
              <controlPr defaultSize="0" autoFill="0" autoLine="0" autoPict="0" macro="[0]!SlicerConnection">
                <anchor moveWithCells="1">
                  <from>
                    <xdr:col>9</xdr:col>
                    <xdr:colOff>655320</xdr:colOff>
                    <xdr:row>1</xdr:row>
                    <xdr:rowOff>220980</xdr:rowOff>
                  </from>
                  <to>
                    <xdr:col>10</xdr:col>
                    <xdr:colOff>556260</xdr:colOff>
                    <xdr:row>1</xdr:row>
                    <xdr:rowOff>441960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251"/>
  <sheetViews>
    <sheetView zoomScale="120" zoomScaleNormal="120" workbookViewId="0">
      <selection sqref="A1:L251"/>
    </sheetView>
  </sheetViews>
  <sheetFormatPr defaultRowHeight="14.4" x14ac:dyDescent="0.3"/>
  <cols>
    <col min="1" max="1" width="11.109375" bestFit="1" customWidth="1"/>
    <col min="2" max="2" width="24.88671875" bestFit="1" customWidth="1"/>
    <col min="3" max="3" width="10.44140625" bestFit="1" customWidth="1"/>
    <col min="4" max="8" width="6.33203125" bestFit="1" customWidth="1"/>
    <col min="9" max="9" width="12.109375" bestFit="1" customWidth="1"/>
    <col min="10" max="10" width="7.77734375" bestFit="1" customWidth="1"/>
    <col min="11" max="11" width="14.109375" bestFit="1" customWidth="1"/>
    <col min="12" max="12" width="22.77734375" bestFit="1" customWidth="1"/>
  </cols>
  <sheetData>
    <row r="1" spans="1:12" ht="15" x14ac:dyDescent="0.3">
      <c r="A1" s="2" t="s">
        <v>520</v>
      </c>
      <c r="B1" s="2" t="s">
        <v>0</v>
      </c>
      <c r="C1" s="2" t="s">
        <v>1</v>
      </c>
      <c r="D1" s="2" t="s">
        <v>2</v>
      </c>
      <c r="E1" s="2" t="s">
        <v>3</v>
      </c>
      <c r="F1" s="2" t="s">
        <v>4</v>
      </c>
      <c r="G1" s="2" t="s">
        <v>5</v>
      </c>
      <c r="H1" s="2" t="s">
        <v>6</v>
      </c>
      <c r="I1" s="2" t="s">
        <v>7</v>
      </c>
      <c r="J1" s="2" t="s">
        <v>8</v>
      </c>
      <c r="K1" s="2" t="s">
        <v>9</v>
      </c>
      <c r="L1" s="2" t="s">
        <v>10</v>
      </c>
    </row>
    <row r="2" spans="1:12" x14ac:dyDescent="0.3">
      <c r="A2" s="1" t="s">
        <v>11</v>
      </c>
      <c r="B2" s="1" t="s">
        <v>261</v>
      </c>
      <c r="C2" s="1" t="s">
        <v>511</v>
      </c>
      <c r="D2" s="1">
        <v>15</v>
      </c>
      <c r="E2" s="1">
        <v>41</v>
      </c>
      <c r="F2" s="1">
        <v>77</v>
      </c>
      <c r="G2" s="1">
        <v>63</v>
      </c>
      <c r="H2" s="1">
        <v>51</v>
      </c>
      <c r="I2" s="1">
        <v>247</v>
      </c>
      <c r="J2" s="1">
        <v>500</v>
      </c>
      <c r="K2" s="3">
        <f>I2/J2</f>
        <v>0.49399999999999999</v>
      </c>
      <c r="L2" s="3">
        <f>1-K2</f>
        <v>0.50600000000000001</v>
      </c>
    </row>
    <row r="3" spans="1:12" x14ac:dyDescent="0.3">
      <c r="A3" s="1" t="s">
        <v>12</v>
      </c>
      <c r="B3" s="1" t="s">
        <v>262</v>
      </c>
      <c r="C3" s="1" t="s">
        <v>512</v>
      </c>
      <c r="D3" s="1">
        <v>71</v>
      </c>
      <c r="E3" s="1">
        <v>84</v>
      </c>
      <c r="F3" s="1">
        <v>58</v>
      </c>
      <c r="G3" s="1">
        <v>27</v>
      </c>
      <c r="H3" s="1">
        <v>97</v>
      </c>
      <c r="I3" s="1">
        <v>337</v>
      </c>
      <c r="J3" s="1">
        <v>500</v>
      </c>
      <c r="K3" s="3">
        <f t="shared" ref="K3:K66" si="0">I3/J3</f>
        <v>0.67400000000000004</v>
      </c>
      <c r="L3" s="3">
        <f t="shared" ref="L3:L66" si="1">1-K3</f>
        <v>0.32599999999999996</v>
      </c>
    </row>
    <row r="4" spans="1:12" x14ac:dyDescent="0.3">
      <c r="A4" s="1" t="s">
        <v>13</v>
      </c>
      <c r="B4" s="1" t="s">
        <v>263</v>
      </c>
      <c r="C4" s="1" t="s">
        <v>513</v>
      </c>
      <c r="D4" s="1">
        <v>27</v>
      </c>
      <c r="E4" s="1">
        <v>59</v>
      </c>
      <c r="F4" s="1">
        <v>74</v>
      </c>
      <c r="G4" s="1">
        <v>64</v>
      </c>
      <c r="H4" s="1">
        <v>34</v>
      </c>
      <c r="I4" s="1">
        <v>258</v>
      </c>
      <c r="J4" s="1">
        <v>500</v>
      </c>
      <c r="K4" s="3">
        <f t="shared" si="0"/>
        <v>0.51600000000000001</v>
      </c>
      <c r="L4" s="3">
        <f t="shared" si="1"/>
        <v>0.48399999999999999</v>
      </c>
    </row>
    <row r="5" spans="1:12" x14ac:dyDescent="0.3">
      <c r="A5" s="1" t="s">
        <v>14</v>
      </c>
      <c r="B5" s="1" t="s">
        <v>264</v>
      </c>
      <c r="C5" s="1" t="s">
        <v>514</v>
      </c>
      <c r="D5" s="1">
        <v>99</v>
      </c>
      <c r="E5" s="1">
        <v>12</v>
      </c>
      <c r="F5" s="1">
        <v>32</v>
      </c>
      <c r="G5" s="1">
        <v>63</v>
      </c>
      <c r="H5" s="1">
        <v>83</v>
      </c>
      <c r="I5" s="1">
        <v>289</v>
      </c>
      <c r="J5" s="1">
        <v>500</v>
      </c>
      <c r="K5" s="3">
        <f t="shared" si="0"/>
        <v>0.57799999999999996</v>
      </c>
      <c r="L5" s="3">
        <f t="shared" si="1"/>
        <v>0.42200000000000004</v>
      </c>
    </row>
    <row r="6" spans="1:12" x14ac:dyDescent="0.3">
      <c r="A6" s="1" t="s">
        <v>15</v>
      </c>
      <c r="B6" s="1" t="s">
        <v>265</v>
      </c>
      <c r="C6" s="1" t="s">
        <v>515</v>
      </c>
      <c r="D6" s="1">
        <v>31</v>
      </c>
      <c r="E6" s="1">
        <v>29</v>
      </c>
      <c r="F6" s="1">
        <v>56</v>
      </c>
      <c r="G6" s="1">
        <v>34</v>
      </c>
      <c r="H6" s="1">
        <v>12</v>
      </c>
      <c r="I6" s="1">
        <v>162</v>
      </c>
      <c r="J6" s="1">
        <v>500</v>
      </c>
      <c r="K6" s="3">
        <f t="shared" si="0"/>
        <v>0.32400000000000001</v>
      </c>
      <c r="L6" s="3">
        <f t="shared" si="1"/>
        <v>0.67599999999999993</v>
      </c>
    </row>
    <row r="7" spans="1:12" x14ac:dyDescent="0.3">
      <c r="A7" s="1" t="s">
        <v>16</v>
      </c>
      <c r="B7" s="1" t="s">
        <v>266</v>
      </c>
      <c r="C7" s="1" t="s">
        <v>516</v>
      </c>
      <c r="D7" s="1">
        <v>66</v>
      </c>
      <c r="E7" s="1">
        <v>80</v>
      </c>
      <c r="F7" s="1">
        <v>96</v>
      </c>
      <c r="G7" s="1">
        <v>42</v>
      </c>
      <c r="H7" s="1">
        <v>55</v>
      </c>
      <c r="I7" s="1">
        <v>339</v>
      </c>
      <c r="J7" s="1">
        <v>500</v>
      </c>
      <c r="K7" s="3">
        <f t="shared" si="0"/>
        <v>0.67800000000000005</v>
      </c>
      <c r="L7" s="3">
        <f t="shared" si="1"/>
        <v>0.32199999999999995</v>
      </c>
    </row>
    <row r="8" spans="1:12" x14ac:dyDescent="0.3">
      <c r="A8" s="1" t="s">
        <v>17</v>
      </c>
      <c r="B8" s="1" t="s">
        <v>267</v>
      </c>
      <c r="C8" s="1" t="s">
        <v>513</v>
      </c>
      <c r="D8" s="1">
        <v>56</v>
      </c>
      <c r="E8" s="1">
        <v>47</v>
      </c>
      <c r="F8" s="1">
        <v>16</v>
      </c>
      <c r="G8" s="1">
        <v>24</v>
      </c>
      <c r="H8" s="1">
        <v>94</v>
      </c>
      <c r="I8" s="1">
        <v>237</v>
      </c>
      <c r="J8" s="1">
        <v>500</v>
      </c>
      <c r="K8" s="3">
        <f t="shared" si="0"/>
        <v>0.47399999999999998</v>
      </c>
      <c r="L8" s="3">
        <f t="shared" si="1"/>
        <v>0.52600000000000002</v>
      </c>
    </row>
    <row r="9" spans="1:12" x14ac:dyDescent="0.3">
      <c r="A9" s="1" t="s">
        <v>18</v>
      </c>
      <c r="B9" s="1" t="s">
        <v>268</v>
      </c>
      <c r="C9" s="1" t="s">
        <v>515</v>
      </c>
      <c r="D9" s="1">
        <v>92</v>
      </c>
      <c r="E9" s="1">
        <v>24</v>
      </c>
      <c r="F9" s="1">
        <v>83</v>
      </c>
      <c r="G9" s="1">
        <v>49</v>
      </c>
      <c r="H9" s="1">
        <v>58</v>
      </c>
      <c r="I9" s="1">
        <v>306</v>
      </c>
      <c r="J9" s="1">
        <v>500</v>
      </c>
      <c r="K9" s="3">
        <f t="shared" si="0"/>
        <v>0.61199999999999999</v>
      </c>
      <c r="L9" s="3">
        <f t="shared" si="1"/>
        <v>0.38800000000000001</v>
      </c>
    </row>
    <row r="10" spans="1:12" x14ac:dyDescent="0.3">
      <c r="A10" s="1" t="s">
        <v>19</v>
      </c>
      <c r="B10" s="1" t="s">
        <v>269</v>
      </c>
      <c r="C10" s="1" t="s">
        <v>515</v>
      </c>
      <c r="D10" s="1">
        <v>53</v>
      </c>
      <c r="E10" s="1">
        <v>33</v>
      </c>
      <c r="F10" s="1">
        <v>83</v>
      </c>
      <c r="G10" s="1">
        <v>19</v>
      </c>
      <c r="H10" s="1">
        <v>88</v>
      </c>
      <c r="I10" s="1">
        <v>276</v>
      </c>
      <c r="J10" s="1">
        <v>500</v>
      </c>
      <c r="K10" s="3">
        <f t="shared" si="0"/>
        <v>0.55200000000000005</v>
      </c>
      <c r="L10" s="3">
        <f t="shared" si="1"/>
        <v>0.44799999999999995</v>
      </c>
    </row>
    <row r="11" spans="1:12" x14ac:dyDescent="0.3">
      <c r="A11" s="1" t="s">
        <v>20</v>
      </c>
      <c r="B11" s="1" t="s">
        <v>270</v>
      </c>
      <c r="C11" s="1" t="s">
        <v>514</v>
      </c>
      <c r="D11" s="1">
        <v>79</v>
      </c>
      <c r="E11" s="1">
        <v>74</v>
      </c>
      <c r="F11" s="1">
        <v>27</v>
      </c>
      <c r="G11" s="1">
        <v>71</v>
      </c>
      <c r="H11" s="1">
        <v>39</v>
      </c>
      <c r="I11" s="1">
        <v>290</v>
      </c>
      <c r="J11" s="1">
        <v>500</v>
      </c>
      <c r="K11" s="3">
        <f t="shared" si="0"/>
        <v>0.57999999999999996</v>
      </c>
      <c r="L11" s="3">
        <f t="shared" si="1"/>
        <v>0.42000000000000004</v>
      </c>
    </row>
    <row r="12" spans="1:12" x14ac:dyDescent="0.3">
      <c r="A12" s="1" t="s">
        <v>21</v>
      </c>
      <c r="B12" s="1" t="s">
        <v>271</v>
      </c>
      <c r="C12" s="1" t="s">
        <v>511</v>
      </c>
      <c r="D12" s="1">
        <v>55</v>
      </c>
      <c r="E12" s="1">
        <v>47</v>
      </c>
      <c r="F12" s="1">
        <v>21</v>
      </c>
      <c r="G12" s="1">
        <v>79</v>
      </c>
      <c r="H12" s="1">
        <v>90</v>
      </c>
      <c r="I12" s="1">
        <v>292</v>
      </c>
      <c r="J12" s="1">
        <v>500</v>
      </c>
      <c r="K12" s="3">
        <f t="shared" si="0"/>
        <v>0.58399999999999996</v>
      </c>
      <c r="L12" s="3">
        <f t="shared" si="1"/>
        <v>0.41600000000000004</v>
      </c>
    </row>
    <row r="13" spans="1:12" x14ac:dyDescent="0.3">
      <c r="A13" s="1" t="s">
        <v>22</v>
      </c>
      <c r="B13" s="1" t="s">
        <v>272</v>
      </c>
      <c r="C13" s="1" t="s">
        <v>514</v>
      </c>
      <c r="D13" s="1">
        <v>58</v>
      </c>
      <c r="E13" s="1">
        <v>76</v>
      </c>
      <c r="F13" s="1">
        <v>75</v>
      </c>
      <c r="G13" s="1">
        <v>63</v>
      </c>
      <c r="H13" s="1">
        <v>87</v>
      </c>
      <c r="I13" s="1">
        <v>359</v>
      </c>
      <c r="J13" s="1">
        <v>500</v>
      </c>
      <c r="K13" s="3">
        <f t="shared" si="0"/>
        <v>0.71799999999999997</v>
      </c>
      <c r="L13" s="3">
        <f t="shared" si="1"/>
        <v>0.28200000000000003</v>
      </c>
    </row>
    <row r="14" spans="1:12" x14ac:dyDescent="0.3">
      <c r="A14" s="1" t="s">
        <v>23</v>
      </c>
      <c r="B14" s="1" t="s">
        <v>273</v>
      </c>
      <c r="C14" s="1" t="s">
        <v>516</v>
      </c>
      <c r="D14" s="1">
        <v>72</v>
      </c>
      <c r="E14" s="1">
        <v>34</v>
      </c>
      <c r="F14" s="1">
        <v>58</v>
      </c>
      <c r="G14" s="1">
        <v>43</v>
      </c>
      <c r="H14" s="1">
        <v>59</v>
      </c>
      <c r="I14" s="1">
        <v>266</v>
      </c>
      <c r="J14" s="1">
        <v>500</v>
      </c>
      <c r="K14" s="3">
        <f t="shared" si="0"/>
        <v>0.53200000000000003</v>
      </c>
      <c r="L14" s="3">
        <f t="shared" si="1"/>
        <v>0.46799999999999997</v>
      </c>
    </row>
    <row r="15" spans="1:12" x14ac:dyDescent="0.3">
      <c r="A15" s="1" t="s">
        <v>24</v>
      </c>
      <c r="B15" s="1" t="s">
        <v>274</v>
      </c>
      <c r="C15" s="1" t="s">
        <v>512</v>
      </c>
      <c r="D15" s="1">
        <v>66</v>
      </c>
      <c r="E15" s="1">
        <v>37</v>
      </c>
      <c r="F15" s="1">
        <v>10</v>
      </c>
      <c r="G15" s="1">
        <v>98</v>
      </c>
      <c r="H15" s="1">
        <v>42</v>
      </c>
      <c r="I15" s="1">
        <v>253</v>
      </c>
      <c r="J15" s="1">
        <v>500</v>
      </c>
      <c r="K15" s="3">
        <f t="shared" si="0"/>
        <v>0.50600000000000001</v>
      </c>
      <c r="L15" s="3">
        <f t="shared" si="1"/>
        <v>0.49399999999999999</v>
      </c>
    </row>
    <row r="16" spans="1:12" x14ac:dyDescent="0.3">
      <c r="A16" s="1" t="s">
        <v>25</v>
      </c>
      <c r="B16" s="1" t="s">
        <v>275</v>
      </c>
      <c r="C16" s="1" t="s">
        <v>514</v>
      </c>
      <c r="D16" s="1">
        <v>69</v>
      </c>
      <c r="E16" s="1">
        <v>98</v>
      </c>
      <c r="F16" s="1">
        <v>30</v>
      </c>
      <c r="G16" s="1">
        <v>13</v>
      </c>
      <c r="H16" s="1">
        <v>83</v>
      </c>
      <c r="I16" s="1">
        <v>293</v>
      </c>
      <c r="J16" s="1">
        <v>500</v>
      </c>
      <c r="K16" s="3">
        <f t="shared" si="0"/>
        <v>0.58599999999999997</v>
      </c>
      <c r="L16" s="3">
        <f t="shared" si="1"/>
        <v>0.41400000000000003</v>
      </c>
    </row>
    <row r="17" spans="1:12" x14ac:dyDescent="0.3">
      <c r="A17" s="1" t="s">
        <v>26</v>
      </c>
      <c r="B17" s="1" t="s">
        <v>276</v>
      </c>
      <c r="C17" s="1" t="s">
        <v>514</v>
      </c>
      <c r="D17" s="1">
        <v>87</v>
      </c>
      <c r="E17" s="1">
        <v>87</v>
      </c>
      <c r="F17" s="1">
        <v>49</v>
      </c>
      <c r="G17" s="1">
        <v>85</v>
      </c>
      <c r="H17" s="1">
        <v>49</v>
      </c>
      <c r="I17" s="1">
        <v>357</v>
      </c>
      <c r="J17" s="1">
        <v>500</v>
      </c>
      <c r="K17" s="3">
        <f t="shared" si="0"/>
        <v>0.71399999999999997</v>
      </c>
      <c r="L17" s="3">
        <f t="shared" si="1"/>
        <v>0.28600000000000003</v>
      </c>
    </row>
    <row r="18" spans="1:12" x14ac:dyDescent="0.3">
      <c r="A18" s="1" t="s">
        <v>27</v>
      </c>
      <c r="B18" s="1" t="s">
        <v>277</v>
      </c>
      <c r="C18" s="1" t="s">
        <v>512</v>
      </c>
      <c r="D18" s="1">
        <v>89</v>
      </c>
      <c r="E18" s="1">
        <v>87</v>
      </c>
      <c r="F18" s="1">
        <v>48</v>
      </c>
      <c r="G18" s="1">
        <v>35</v>
      </c>
      <c r="H18" s="1">
        <v>31</v>
      </c>
      <c r="I18" s="1">
        <v>290</v>
      </c>
      <c r="J18" s="1">
        <v>500</v>
      </c>
      <c r="K18" s="3">
        <f t="shared" si="0"/>
        <v>0.57999999999999996</v>
      </c>
      <c r="L18" s="3">
        <f t="shared" si="1"/>
        <v>0.42000000000000004</v>
      </c>
    </row>
    <row r="19" spans="1:12" x14ac:dyDescent="0.3">
      <c r="A19" s="1" t="s">
        <v>28</v>
      </c>
      <c r="B19" s="1" t="s">
        <v>278</v>
      </c>
      <c r="C19" s="1" t="s">
        <v>513</v>
      </c>
      <c r="D19" s="1">
        <v>11</v>
      </c>
      <c r="E19" s="1">
        <v>100</v>
      </c>
      <c r="F19" s="1">
        <v>22</v>
      </c>
      <c r="G19" s="1">
        <v>17</v>
      </c>
      <c r="H19" s="1">
        <v>31</v>
      </c>
      <c r="I19" s="1">
        <v>181</v>
      </c>
      <c r="J19" s="1">
        <v>500</v>
      </c>
      <c r="K19" s="3">
        <f t="shared" si="0"/>
        <v>0.36199999999999999</v>
      </c>
      <c r="L19" s="3">
        <f t="shared" si="1"/>
        <v>0.63800000000000001</v>
      </c>
    </row>
    <row r="20" spans="1:12" x14ac:dyDescent="0.3">
      <c r="A20" s="1" t="s">
        <v>29</v>
      </c>
      <c r="B20" s="1" t="s">
        <v>279</v>
      </c>
      <c r="C20" s="1" t="s">
        <v>512</v>
      </c>
      <c r="D20" s="1">
        <v>19</v>
      </c>
      <c r="E20" s="1">
        <v>90</v>
      </c>
      <c r="F20" s="1">
        <v>66</v>
      </c>
      <c r="G20" s="1">
        <v>91</v>
      </c>
      <c r="H20" s="1">
        <v>58</v>
      </c>
      <c r="I20" s="1">
        <v>324</v>
      </c>
      <c r="J20" s="1">
        <v>500</v>
      </c>
      <c r="K20" s="3">
        <f t="shared" si="0"/>
        <v>0.64800000000000002</v>
      </c>
      <c r="L20" s="3">
        <f t="shared" si="1"/>
        <v>0.35199999999999998</v>
      </c>
    </row>
    <row r="21" spans="1:12" x14ac:dyDescent="0.3">
      <c r="A21" s="1" t="s">
        <v>30</v>
      </c>
      <c r="B21" s="1" t="s">
        <v>280</v>
      </c>
      <c r="C21" s="1" t="s">
        <v>516</v>
      </c>
      <c r="D21" s="1">
        <v>37</v>
      </c>
      <c r="E21" s="1">
        <v>91</v>
      </c>
      <c r="F21" s="1">
        <v>93</v>
      </c>
      <c r="G21" s="1">
        <v>48</v>
      </c>
      <c r="H21" s="1">
        <v>11</v>
      </c>
      <c r="I21" s="1">
        <v>280</v>
      </c>
      <c r="J21" s="1">
        <v>500</v>
      </c>
      <c r="K21" s="3">
        <f t="shared" si="0"/>
        <v>0.56000000000000005</v>
      </c>
      <c r="L21" s="3">
        <f t="shared" si="1"/>
        <v>0.43999999999999995</v>
      </c>
    </row>
    <row r="22" spans="1:12" x14ac:dyDescent="0.3">
      <c r="A22" s="1" t="s">
        <v>31</v>
      </c>
      <c r="B22" s="1" t="s">
        <v>281</v>
      </c>
      <c r="C22" s="1" t="s">
        <v>516</v>
      </c>
      <c r="D22" s="1">
        <v>34</v>
      </c>
      <c r="E22" s="1">
        <v>100</v>
      </c>
      <c r="F22" s="1">
        <v>72</v>
      </c>
      <c r="G22" s="1">
        <v>81</v>
      </c>
      <c r="H22" s="1">
        <v>69</v>
      </c>
      <c r="I22" s="1">
        <v>356</v>
      </c>
      <c r="J22" s="1">
        <v>500</v>
      </c>
      <c r="K22" s="3">
        <f t="shared" si="0"/>
        <v>0.71199999999999997</v>
      </c>
      <c r="L22" s="3">
        <f t="shared" si="1"/>
        <v>0.28800000000000003</v>
      </c>
    </row>
    <row r="23" spans="1:12" x14ac:dyDescent="0.3">
      <c r="A23" s="1" t="s">
        <v>32</v>
      </c>
      <c r="B23" s="1" t="s">
        <v>282</v>
      </c>
      <c r="C23" s="1" t="s">
        <v>514</v>
      </c>
      <c r="D23" s="1">
        <v>10</v>
      </c>
      <c r="E23" s="1">
        <v>28</v>
      </c>
      <c r="F23" s="1">
        <v>81</v>
      </c>
      <c r="G23" s="1">
        <v>80</v>
      </c>
      <c r="H23" s="1">
        <v>51</v>
      </c>
      <c r="I23" s="1">
        <v>250</v>
      </c>
      <c r="J23" s="1">
        <v>500</v>
      </c>
      <c r="K23" s="3">
        <f t="shared" si="0"/>
        <v>0.5</v>
      </c>
      <c r="L23" s="3">
        <f t="shared" si="1"/>
        <v>0.5</v>
      </c>
    </row>
    <row r="24" spans="1:12" x14ac:dyDescent="0.3">
      <c r="A24" s="1" t="s">
        <v>33</v>
      </c>
      <c r="B24" s="1" t="s">
        <v>283</v>
      </c>
      <c r="C24" s="1" t="s">
        <v>515</v>
      </c>
      <c r="D24" s="1">
        <v>86</v>
      </c>
      <c r="E24" s="1">
        <v>92</v>
      </c>
      <c r="F24" s="1">
        <v>37</v>
      </c>
      <c r="G24" s="1">
        <v>19</v>
      </c>
      <c r="H24" s="1">
        <v>82</v>
      </c>
      <c r="I24" s="1">
        <v>316</v>
      </c>
      <c r="J24" s="1">
        <v>500</v>
      </c>
      <c r="K24" s="3">
        <f t="shared" si="0"/>
        <v>0.63200000000000001</v>
      </c>
      <c r="L24" s="3">
        <f t="shared" si="1"/>
        <v>0.36799999999999999</v>
      </c>
    </row>
    <row r="25" spans="1:12" x14ac:dyDescent="0.3">
      <c r="A25" s="1" t="s">
        <v>34</v>
      </c>
      <c r="B25" s="1" t="s">
        <v>284</v>
      </c>
      <c r="C25" s="1" t="s">
        <v>512</v>
      </c>
      <c r="D25" s="1">
        <v>49</v>
      </c>
      <c r="E25" s="1">
        <v>32</v>
      </c>
      <c r="F25" s="1">
        <v>70</v>
      </c>
      <c r="G25" s="1">
        <v>11</v>
      </c>
      <c r="H25" s="1">
        <v>91</v>
      </c>
      <c r="I25" s="1">
        <v>253</v>
      </c>
      <c r="J25" s="1">
        <v>500</v>
      </c>
      <c r="K25" s="3">
        <f t="shared" si="0"/>
        <v>0.50600000000000001</v>
      </c>
      <c r="L25" s="3">
        <f t="shared" si="1"/>
        <v>0.49399999999999999</v>
      </c>
    </row>
    <row r="26" spans="1:12" x14ac:dyDescent="0.3">
      <c r="A26" s="1" t="s">
        <v>35</v>
      </c>
      <c r="B26" s="1" t="s">
        <v>285</v>
      </c>
      <c r="C26" s="1" t="s">
        <v>515</v>
      </c>
      <c r="D26" s="1">
        <v>99</v>
      </c>
      <c r="E26" s="1">
        <v>14</v>
      </c>
      <c r="F26" s="1">
        <v>36</v>
      </c>
      <c r="G26" s="1">
        <v>94</v>
      </c>
      <c r="H26" s="1">
        <v>86</v>
      </c>
      <c r="I26" s="1">
        <v>329</v>
      </c>
      <c r="J26" s="1">
        <v>500</v>
      </c>
      <c r="K26" s="3">
        <f t="shared" si="0"/>
        <v>0.65800000000000003</v>
      </c>
      <c r="L26" s="3">
        <f t="shared" si="1"/>
        <v>0.34199999999999997</v>
      </c>
    </row>
    <row r="27" spans="1:12" x14ac:dyDescent="0.3">
      <c r="A27" s="1" t="s">
        <v>36</v>
      </c>
      <c r="B27" s="1" t="s">
        <v>286</v>
      </c>
      <c r="C27" s="1" t="s">
        <v>515</v>
      </c>
      <c r="D27" s="1">
        <v>65</v>
      </c>
      <c r="E27" s="1">
        <v>57</v>
      </c>
      <c r="F27" s="1">
        <v>98</v>
      </c>
      <c r="G27" s="1">
        <v>67</v>
      </c>
      <c r="H27" s="1">
        <v>48</v>
      </c>
      <c r="I27" s="1">
        <v>335</v>
      </c>
      <c r="J27" s="1">
        <v>500</v>
      </c>
      <c r="K27" s="3">
        <f t="shared" si="0"/>
        <v>0.67</v>
      </c>
      <c r="L27" s="3">
        <f t="shared" si="1"/>
        <v>0.32999999999999996</v>
      </c>
    </row>
    <row r="28" spans="1:12" x14ac:dyDescent="0.3">
      <c r="A28" s="1" t="s">
        <v>37</v>
      </c>
      <c r="B28" s="1" t="s">
        <v>287</v>
      </c>
      <c r="C28" s="1" t="s">
        <v>511</v>
      </c>
      <c r="D28" s="1">
        <v>93</v>
      </c>
      <c r="E28" s="1">
        <v>74</v>
      </c>
      <c r="F28" s="1">
        <v>87</v>
      </c>
      <c r="G28" s="1">
        <v>30</v>
      </c>
      <c r="H28" s="1">
        <v>89</v>
      </c>
      <c r="I28" s="1">
        <v>373</v>
      </c>
      <c r="J28" s="1">
        <v>500</v>
      </c>
      <c r="K28" s="3">
        <f t="shared" si="0"/>
        <v>0.746</v>
      </c>
      <c r="L28" s="3">
        <f t="shared" si="1"/>
        <v>0.254</v>
      </c>
    </row>
    <row r="29" spans="1:12" x14ac:dyDescent="0.3">
      <c r="A29" s="1" t="s">
        <v>38</v>
      </c>
      <c r="B29" s="1" t="s">
        <v>288</v>
      </c>
      <c r="C29" s="1" t="s">
        <v>513</v>
      </c>
      <c r="D29" s="1">
        <v>89</v>
      </c>
      <c r="E29" s="1">
        <v>97</v>
      </c>
      <c r="F29" s="1">
        <v>33</v>
      </c>
      <c r="G29" s="1">
        <v>75</v>
      </c>
      <c r="H29" s="1">
        <v>30</v>
      </c>
      <c r="I29" s="1">
        <v>324</v>
      </c>
      <c r="J29" s="1">
        <v>500</v>
      </c>
      <c r="K29" s="3">
        <f t="shared" si="0"/>
        <v>0.64800000000000002</v>
      </c>
      <c r="L29" s="3">
        <f t="shared" si="1"/>
        <v>0.35199999999999998</v>
      </c>
    </row>
    <row r="30" spans="1:12" x14ac:dyDescent="0.3">
      <c r="A30" s="1" t="s">
        <v>39</v>
      </c>
      <c r="B30" s="1" t="s">
        <v>289</v>
      </c>
      <c r="C30" s="1" t="s">
        <v>511</v>
      </c>
      <c r="D30" s="1">
        <v>36</v>
      </c>
      <c r="E30" s="1">
        <v>56</v>
      </c>
      <c r="F30" s="1">
        <v>49</v>
      </c>
      <c r="G30" s="1">
        <v>45</v>
      </c>
      <c r="H30" s="1">
        <v>29</v>
      </c>
      <c r="I30" s="1">
        <v>215</v>
      </c>
      <c r="J30" s="1">
        <v>500</v>
      </c>
      <c r="K30" s="3">
        <f t="shared" si="0"/>
        <v>0.43</v>
      </c>
      <c r="L30" s="3">
        <f t="shared" si="1"/>
        <v>0.57000000000000006</v>
      </c>
    </row>
    <row r="31" spans="1:12" x14ac:dyDescent="0.3">
      <c r="A31" s="1" t="s">
        <v>40</v>
      </c>
      <c r="B31" s="1" t="s">
        <v>290</v>
      </c>
      <c r="C31" s="1" t="s">
        <v>514</v>
      </c>
      <c r="D31" s="1">
        <v>68</v>
      </c>
      <c r="E31" s="1">
        <v>40</v>
      </c>
      <c r="F31" s="1">
        <v>70</v>
      </c>
      <c r="G31" s="1">
        <v>39</v>
      </c>
      <c r="H31" s="1">
        <v>80</v>
      </c>
      <c r="I31" s="1">
        <v>297</v>
      </c>
      <c r="J31" s="1">
        <v>500</v>
      </c>
      <c r="K31" s="3">
        <f t="shared" si="0"/>
        <v>0.59399999999999997</v>
      </c>
      <c r="L31" s="3">
        <f t="shared" si="1"/>
        <v>0.40600000000000003</v>
      </c>
    </row>
    <row r="32" spans="1:12" x14ac:dyDescent="0.3">
      <c r="A32" s="1" t="s">
        <v>41</v>
      </c>
      <c r="B32" s="1" t="s">
        <v>291</v>
      </c>
      <c r="C32" s="1" t="s">
        <v>515</v>
      </c>
      <c r="D32" s="1">
        <v>46</v>
      </c>
      <c r="E32" s="1">
        <v>56</v>
      </c>
      <c r="F32" s="1">
        <v>53</v>
      </c>
      <c r="G32" s="1">
        <v>69</v>
      </c>
      <c r="H32" s="1">
        <v>28</v>
      </c>
      <c r="I32" s="1">
        <v>252</v>
      </c>
      <c r="J32" s="1">
        <v>500</v>
      </c>
      <c r="K32" s="3">
        <f t="shared" si="0"/>
        <v>0.504</v>
      </c>
      <c r="L32" s="3">
        <f t="shared" si="1"/>
        <v>0.496</v>
      </c>
    </row>
    <row r="33" spans="1:12" x14ac:dyDescent="0.3">
      <c r="A33" s="1" t="s">
        <v>42</v>
      </c>
      <c r="B33" s="1" t="s">
        <v>292</v>
      </c>
      <c r="C33" s="1" t="s">
        <v>513</v>
      </c>
      <c r="D33" s="1">
        <v>36</v>
      </c>
      <c r="E33" s="1">
        <v>44</v>
      </c>
      <c r="F33" s="1">
        <v>75</v>
      </c>
      <c r="G33" s="1">
        <v>15</v>
      </c>
      <c r="H33" s="1">
        <v>10</v>
      </c>
      <c r="I33" s="1">
        <v>180</v>
      </c>
      <c r="J33" s="1">
        <v>500</v>
      </c>
      <c r="K33" s="3">
        <f t="shared" si="0"/>
        <v>0.36</v>
      </c>
      <c r="L33" s="3">
        <f t="shared" si="1"/>
        <v>0.64</v>
      </c>
    </row>
    <row r="34" spans="1:12" x14ac:dyDescent="0.3">
      <c r="A34" s="1" t="s">
        <v>43</v>
      </c>
      <c r="B34" s="1" t="s">
        <v>293</v>
      </c>
      <c r="C34" s="1" t="s">
        <v>511</v>
      </c>
      <c r="D34" s="1">
        <v>76</v>
      </c>
      <c r="E34" s="1">
        <v>94</v>
      </c>
      <c r="F34" s="1">
        <v>28</v>
      </c>
      <c r="G34" s="1">
        <v>37</v>
      </c>
      <c r="H34" s="1">
        <v>89</v>
      </c>
      <c r="I34" s="1">
        <v>324</v>
      </c>
      <c r="J34" s="1">
        <v>500</v>
      </c>
      <c r="K34" s="3">
        <f t="shared" si="0"/>
        <v>0.64800000000000002</v>
      </c>
      <c r="L34" s="3">
        <f t="shared" si="1"/>
        <v>0.35199999999999998</v>
      </c>
    </row>
    <row r="35" spans="1:12" x14ac:dyDescent="0.3">
      <c r="A35" s="1" t="s">
        <v>44</v>
      </c>
      <c r="B35" s="1" t="s">
        <v>294</v>
      </c>
      <c r="C35" s="1" t="s">
        <v>515</v>
      </c>
      <c r="D35" s="1">
        <v>99</v>
      </c>
      <c r="E35" s="1">
        <v>20</v>
      </c>
      <c r="F35" s="1">
        <v>93</v>
      </c>
      <c r="G35" s="1">
        <v>32</v>
      </c>
      <c r="H35" s="1">
        <v>98</v>
      </c>
      <c r="I35" s="1">
        <v>342</v>
      </c>
      <c r="J35" s="1">
        <v>500</v>
      </c>
      <c r="K35" s="3">
        <f t="shared" si="0"/>
        <v>0.68400000000000005</v>
      </c>
      <c r="L35" s="3">
        <f t="shared" si="1"/>
        <v>0.31599999999999995</v>
      </c>
    </row>
    <row r="36" spans="1:12" x14ac:dyDescent="0.3">
      <c r="A36" s="1" t="s">
        <v>45</v>
      </c>
      <c r="B36" s="1" t="s">
        <v>295</v>
      </c>
      <c r="C36" s="1" t="s">
        <v>512</v>
      </c>
      <c r="D36" s="1">
        <v>29</v>
      </c>
      <c r="E36" s="1">
        <v>16</v>
      </c>
      <c r="F36" s="1">
        <v>58</v>
      </c>
      <c r="G36" s="1">
        <v>84</v>
      </c>
      <c r="H36" s="1">
        <v>70</v>
      </c>
      <c r="I36" s="1">
        <v>257</v>
      </c>
      <c r="J36" s="1">
        <v>500</v>
      </c>
      <c r="K36" s="3">
        <f t="shared" si="0"/>
        <v>0.51400000000000001</v>
      </c>
      <c r="L36" s="3">
        <f t="shared" si="1"/>
        <v>0.48599999999999999</v>
      </c>
    </row>
    <row r="37" spans="1:12" x14ac:dyDescent="0.3">
      <c r="A37" s="1" t="s">
        <v>46</v>
      </c>
      <c r="B37" s="1" t="s">
        <v>296</v>
      </c>
      <c r="C37" s="1" t="s">
        <v>513</v>
      </c>
      <c r="D37" s="1">
        <v>90</v>
      </c>
      <c r="E37" s="1">
        <v>30</v>
      </c>
      <c r="F37" s="1">
        <v>82</v>
      </c>
      <c r="G37" s="1">
        <v>49</v>
      </c>
      <c r="H37" s="1">
        <v>14</v>
      </c>
      <c r="I37" s="1">
        <v>265</v>
      </c>
      <c r="J37" s="1">
        <v>500</v>
      </c>
      <c r="K37" s="3">
        <f t="shared" si="0"/>
        <v>0.53</v>
      </c>
      <c r="L37" s="3">
        <f t="shared" si="1"/>
        <v>0.47</v>
      </c>
    </row>
    <row r="38" spans="1:12" x14ac:dyDescent="0.3">
      <c r="A38" s="1" t="s">
        <v>47</v>
      </c>
      <c r="B38" s="1" t="s">
        <v>297</v>
      </c>
      <c r="C38" s="1" t="s">
        <v>514</v>
      </c>
      <c r="D38" s="1">
        <v>67</v>
      </c>
      <c r="E38" s="1">
        <v>63</v>
      </c>
      <c r="F38" s="1">
        <v>19</v>
      </c>
      <c r="G38" s="1">
        <v>71</v>
      </c>
      <c r="H38" s="1">
        <v>41</v>
      </c>
      <c r="I38" s="1">
        <v>261</v>
      </c>
      <c r="J38" s="1">
        <v>500</v>
      </c>
      <c r="K38" s="3">
        <f t="shared" si="0"/>
        <v>0.52200000000000002</v>
      </c>
      <c r="L38" s="3">
        <f t="shared" si="1"/>
        <v>0.47799999999999998</v>
      </c>
    </row>
    <row r="39" spans="1:12" x14ac:dyDescent="0.3">
      <c r="A39" s="1" t="s">
        <v>48</v>
      </c>
      <c r="B39" s="1" t="s">
        <v>298</v>
      </c>
      <c r="C39" s="1" t="s">
        <v>515</v>
      </c>
      <c r="D39" s="1">
        <v>86</v>
      </c>
      <c r="E39" s="1">
        <v>19</v>
      </c>
      <c r="F39" s="1">
        <v>51</v>
      </c>
      <c r="G39" s="1">
        <v>16</v>
      </c>
      <c r="H39" s="1">
        <v>27</v>
      </c>
      <c r="I39" s="1">
        <v>199</v>
      </c>
      <c r="J39" s="1">
        <v>500</v>
      </c>
      <c r="K39" s="3">
        <f t="shared" si="0"/>
        <v>0.39800000000000002</v>
      </c>
      <c r="L39" s="3">
        <f t="shared" si="1"/>
        <v>0.60199999999999998</v>
      </c>
    </row>
    <row r="40" spans="1:12" x14ac:dyDescent="0.3">
      <c r="A40" s="1" t="s">
        <v>49</v>
      </c>
      <c r="B40" s="1" t="s">
        <v>299</v>
      </c>
      <c r="C40" s="1" t="s">
        <v>513</v>
      </c>
      <c r="D40" s="1">
        <v>64</v>
      </c>
      <c r="E40" s="1">
        <v>77</v>
      </c>
      <c r="F40" s="1">
        <v>51</v>
      </c>
      <c r="G40" s="1">
        <v>60</v>
      </c>
      <c r="H40" s="1">
        <v>77</v>
      </c>
      <c r="I40" s="1">
        <v>329</v>
      </c>
      <c r="J40" s="1">
        <v>500</v>
      </c>
      <c r="K40" s="3">
        <f t="shared" si="0"/>
        <v>0.65800000000000003</v>
      </c>
      <c r="L40" s="3">
        <f t="shared" si="1"/>
        <v>0.34199999999999997</v>
      </c>
    </row>
    <row r="41" spans="1:12" x14ac:dyDescent="0.3">
      <c r="A41" s="1" t="s">
        <v>50</v>
      </c>
      <c r="B41" s="1" t="s">
        <v>300</v>
      </c>
      <c r="C41" s="1" t="s">
        <v>513</v>
      </c>
      <c r="D41" s="1">
        <v>22</v>
      </c>
      <c r="E41" s="1">
        <v>92</v>
      </c>
      <c r="F41" s="1">
        <v>39</v>
      </c>
      <c r="G41" s="1">
        <v>28</v>
      </c>
      <c r="H41" s="1">
        <v>99</v>
      </c>
      <c r="I41" s="1">
        <v>280</v>
      </c>
      <c r="J41" s="1">
        <v>500</v>
      </c>
      <c r="K41" s="3">
        <f t="shared" si="0"/>
        <v>0.56000000000000005</v>
      </c>
      <c r="L41" s="3">
        <f t="shared" si="1"/>
        <v>0.43999999999999995</v>
      </c>
    </row>
    <row r="42" spans="1:12" x14ac:dyDescent="0.3">
      <c r="A42" s="1" t="s">
        <v>51</v>
      </c>
      <c r="B42" s="1" t="s">
        <v>301</v>
      </c>
      <c r="C42" s="1" t="s">
        <v>513</v>
      </c>
      <c r="D42" s="1">
        <v>59</v>
      </c>
      <c r="E42" s="1">
        <v>78</v>
      </c>
      <c r="F42" s="1">
        <v>13</v>
      </c>
      <c r="G42" s="1">
        <v>26</v>
      </c>
      <c r="H42" s="1">
        <v>41</v>
      </c>
      <c r="I42" s="1">
        <v>217</v>
      </c>
      <c r="J42" s="1">
        <v>500</v>
      </c>
      <c r="K42" s="3">
        <f t="shared" si="0"/>
        <v>0.434</v>
      </c>
      <c r="L42" s="3">
        <f t="shared" si="1"/>
        <v>0.56600000000000006</v>
      </c>
    </row>
    <row r="43" spans="1:12" x14ac:dyDescent="0.3">
      <c r="A43" s="1" t="s">
        <v>52</v>
      </c>
      <c r="B43" s="1" t="s">
        <v>302</v>
      </c>
      <c r="C43" s="1" t="s">
        <v>514</v>
      </c>
      <c r="D43" s="1">
        <v>96</v>
      </c>
      <c r="E43" s="1">
        <v>86</v>
      </c>
      <c r="F43" s="1">
        <v>16</v>
      </c>
      <c r="G43" s="1">
        <v>82</v>
      </c>
      <c r="H43" s="1">
        <v>25</v>
      </c>
      <c r="I43" s="1">
        <v>305</v>
      </c>
      <c r="J43" s="1">
        <v>500</v>
      </c>
      <c r="K43" s="3">
        <f t="shared" si="0"/>
        <v>0.61</v>
      </c>
      <c r="L43" s="3">
        <f t="shared" si="1"/>
        <v>0.39</v>
      </c>
    </row>
    <row r="44" spans="1:12" x14ac:dyDescent="0.3">
      <c r="A44" s="1" t="s">
        <v>53</v>
      </c>
      <c r="B44" s="1" t="s">
        <v>303</v>
      </c>
      <c r="C44" s="1" t="s">
        <v>514</v>
      </c>
      <c r="D44" s="1">
        <v>99</v>
      </c>
      <c r="E44" s="1">
        <v>24</v>
      </c>
      <c r="F44" s="1">
        <v>50</v>
      </c>
      <c r="G44" s="1">
        <v>36</v>
      </c>
      <c r="H44" s="1">
        <v>68</v>
      </c>
      <c r="I44" s="1">
        <v>277</v>
      </c>
      <c r="J44" s="1">
        <v>500</v>
      </c>
      <c r="K44" s="3">
        <f t="shared" si="0"/>
        <v>0.55400000000000005</v>
      </c>
      <c r="L44" s="3">
        <f t="shared" si="1"/>
        <v>0.44599999999999995</v>
      </c>
    </row>
    <row r="45" spans="1:12" x14ac:dyDescent="0.3">
      <c r="A45" s="1" t="s">
        <v>54</v>
      </c>
      <c r="B45" s="1" t="s">
        <v>304</v>
      </c>
      <c r="C45" s="1" t="s">
        <v>512</v>
      </c>
      <c r="D45" s="1">
        <v>90</v>
      </c>
      <c r="E45" s="1">
        <v>99</v>
      </c>
      <c r="F45" s="1">
        <v>55</v>
      </c>
      <c r="G45" s="1">
        <v>47</v>
      </c>
      <c r="H45" s="1">
        <v>42</v>
      </c>
      <c r="I45" s="1">
        <v>333</v>
      </c>
      <c r="J45" s="1">
        <v>500</v>
      </c>
      <c r="K45" s="3">
        <f t="shared" si="0"/>
        <v>0.66600000000000004</v>
      </c>
      <c r="L45" s="3">
        <f t="shared" si="1"/>
        <v>0.33399999999999996</v>
      </c>
    </row>
    <row r="46" spans="1:12" x14ac:dyDescent="0.3">
      <c r="A46" s="1" t="s">
        <v>55</v>
      </c>
      <c r="B46" s="1" t="s">
        <v>305</v>
      </c>
      <c r="C46" s="1" t="s">
        <v>513</v>
      </c>
      <c r="D46" s="1">
        <v>66</v>
      </c>
      <c r="E46" s="1">
        <v>41</v>
      </c>
      <c r="F46" s="1">
        <v>45</v>
      </c>
      <c r="G46" s="1">
        <v>54</v>
      </c>
      <c r="H46" s="1">
        <v>74</v>
      </c>
      <c r="I46" s="1">
        <v>280</v>
      </c>
      <c r="J46" s="1">
        <v>500</v>
      </c>
      <c r="K46" s="3">
        <f t="shared" si="0"/>
        <v>0.56000000000000005</v>
      </c>
      <c r="L46" s="3">
        <f t="shared" si="1"/>
        <v>0.43999999999999995</v>
      </c>
    </row>
    <row r="47" spans="1:12" x14ac:dyDescent="0.3">
      <c r="A47" s="1" t="s">
        <v>56</v>
      </c>
      <c r="B47" s="1" t="s">
        <v>306</v>
      </c>
      <c r="C47" s="1" t="s">
        <v>515</v>
      </c>
      <c r="D47" s="1">
        <v>73</v>
      </c>
      <c r="E47" s="1">
        <v>71</v>
      </c>
      <c r="F47" s="1">
        <v>17</v>
      </c>
      <c r="G47" s="1">
        <v>99</v>
      </c>
      <c r="H47" s="1">
        <v>98</v>
      </c>
      <c r="I47" s="1">
        <v>358</v>
      </c>
      <c r="J47" s="1">
        <v>500</v>
      </c>
      <c r="K47" s="3">
        <f t="shared" si="0"/>
        <v>0.71599999999999997</v>
      </c>
      <c r="L47" s="3">
        <f t="shared" si="1"/>
        <v>0.28400000000000003</v>
      </c>
    </row>
    <row r="48" spans="1:12" x14ac:dyDescent="0.3">
      <c r="A48" s="1" t="s">
        <v>57</v>
      </c>
      <c r="B48" s="1" t="s">
        <v>307</v>
      </c>
      <c r="C48" s="1" t="s">
        <v>512</v>
      </c>
      <c r="D48" s="1">
        <v>30</v>
      </c>
      <c r="E48" s="1">
        <v>42</v>
      </c>
      <c r="F48" s="1">
        <v>81</v>
      </c>
      <c r="G48" s="1">
        <v>69</v>
      </c>
      <c r="H48" s="1">
        <v>91</v>
      </c>
      <c r="I48" s="1">
        <v>313</v>
      </c>
      <c r="J48" s="1">
        <v>500</v>
      </c>
      <c r="K48" s="3">
        <f t="shared" si="0"/>
        <v>0.626</v>
      </c>
      <c r="L48" s="3">
        <f t="shared" si="1"/>
        <v>0.374</v>
      </c>
    </row>
    <row r="49" spans="1:12" x14ac:dyDescent="0.3">
      <c r="A49" s="1" t="s">
        <v>58</v>
      </c>
      <c r="B49" s="1" t="s">
        <v>308</v>
      </c>
      <c r="C49" s="1" t="s">
        <v>512</v>
      </c>
      <c r="D49" s="1">
        <v>19</v>
      </c>
      <c r="E49" s="1">
        <v>42</v>
      </c>
      <c r="F49" s="1">
        <v>73</v>
      </c>
      <c r="G49" s="1">
        <v>52</v>
      </c>
      <c r="H49" s="1">
        <v>57</v>
      </c>
      <c r="I49" s="1">
        <v>243</v>
      </c>
      <c r="J49" s="1">
        <v>500</v>
      </c>
      <c r="K49" s="3">
        <f t="shared" si="0"/>
        <v>0.48599999999999999</v>
      </c>
      <c r="L49" s="3">
        <f t="shared" si="1"/>
        <v>0.51400000000000001</v>
      </c>
    </row>
    <row r="50" spans="1:12" x14ac:dyDescent="0.3">
      <c r="A50" s="1" t="s">
        <v>59</v>
      </c>
      <c r="B50" s="1" t="s">
        <v>309</v>
      </c>
      <c r="C50" s="1" t="s">
        <v>515</v>
      </c>
      <c r="D50" s="1">
        <v>53</v>
      </c>
      <c r="E50" s="1">
        <v>36</v>
      </c>
      <c r="F50" s="1">
        <v>10</v>
      </c>
      <c r="G50" s="1">
        <v>24</v>
      </c>
      <c r="H50" s="1">
        <v>39</v>
      </c>
      <c r="I50" s="1">
        <v>162</v>
      </c>
      <c r="J50" s="1">
        <v>500</v>
      </c>
      <c r="K50" s="3">
        <f t="shared" si="0"/>
        <v>0.32400000000000001</v>
      </c>
      <c r="L50" s="3">
        <f t="shared" si="1"/>
        <v>0.67599999999999993</v>
      </c>
    </row>
    <row r="51" spans="1:12" x14ac:dyDescent="0.3">
      <c r="A51" s="1" t="s">
        <v>60</v>
      </c>
      <c r="B51" s="1" t="s">
        <v>310</v>
      </c>
      <c r="C51" s="1" t="s">
        <v>512</v>
      </c>
      <c r="D51" s="1">
        <v>59</v>
      </c>
      <c r="E51" s="1">
        <v>83</v>
      </c>
      <c r="F51" s="1">
        <v>49</v>
      </c>
      <c r="G51" s="1">
        <v>67</v>
      </c>
      <c r="H51" s="1">
        <v>46</v>
      </c>
      <c r="I51" s="1">
        <v>304</v>
      </c>
      <c r="J51" s="1">
        <v>500</v>
      </c>
      <c r="K51" s="3">
        <f t="shared" si="0"/>
        <v>0.60799999999999998</v>
      </c>
      <c r="L51" s="3">
        <f t="shared" si="1"/>
        <v>0.39200000000000002</v>
      </c>
    </row>
    <row r="52" spans="1:12" x14ac:dyDescent="0.3">
      <c r="A52" s="1" t="s">
        <v>61</v>
      </c>
      <c r="B52" s="1" t="s">
        <v>311</v>
      </c>
      <c r="C52" s="1" t="s">
        <v>515</v>
      </c>
      <c r="D52" s="1">
        <v>68</v>
      </c>
      <c r="E52" s="1">
        <v>61</v>
      </c>
      <c r="F52" s="1">
        <v>42</v>
      </c>
      <c r="G52" s="1">
        <v>64</v>
      </c>
      <c r="H52" s="1">
        <v>10</v>
      </c>
      <c r="I52" s="1">
        <v>245</v>
      </c>
      <c r="J52" s="1">
        <v>500</v>
      </c>
      <c r="K52" s="3">
        <f t="shared" si="0"/>
        <v>0.49</v>
      </c>
      <c r="L52" s="3">
        <f t="shared" si="1"/>
        <v>0.51</v>
      </c>
    </row>
    <row r="53" spans="1:12" x14ac:dyDescent="0.3">
      <c r="A53" s="1" t="s">
        <v>62</v>
      </c>
      <c r="B53" s="1" t="s">
        <v>312</v>
      </c>
      <c r="C53" s="1" t="s">
        <v>513</v>
      </c>
      <c r="D53" s="1">
        <v>72</v>
      </c>
      <c r="E53" s="1">
        <v>30</v>
      </c>
      <c r="F53" s="1">
        <v>86</v>
      </c>
      <c r="G53" s="1">
        <v>93</v>
      </c>
      <c r="H53" s="1">
        <v>68</v>
      </c>
      <c r="I53" s="1">
        <v>349</v>
      </c>
      <c r="J53" s="1">
        <v>500</v>
      </c>
      <c r="K53" s="3">
        <f t="shared" si="0"/>
        <v>0.69799999999999995</v>
      </c>
      <c r="L53" s="3">
        <f t="shared" si="1"/>
        <v>0.30200000000000005</v>
      </c>
    </row>
    <row r="54" spans="1:12" x14ac:dyDescent="0.3">
      <c r="A54" s="1" t="s">
        <v>63</v>
      </c>
      <c r="B54" s="1" t="s">
        <v>313</v>
      </c>
      <c r="C54" s="1" t="s">
        <v>512</v>
      </c>
      <c r="D54" s="1">
        <v>97</v>
      </c>
      <c r="E54" s="1">
        <v>80</v>
      </c>
      <c r="F54" s="1">
        <v>66</v>
      </c>
      <c r="G54" s="1">
        <v>71</v>
      </c>
      <c r="H54" s="1">
        <v>87</v>
      </c>
      <c r="I54" s="1">
        <v>401</v>
      </c>
      <c r="J54" s="1">
        <v>500</v>
      </c>
      <c r="K54" s="3">
        <f t="shared" si="0"/>
        <v>0.80200000000000005</v>
      </c>
      <c r="L54" s="3">
        <f t="shared" si="1"/>
        <v>0.19799999999999995</v>
      </c>
    </row>
    <row r="55" spans="1:12" x14ac:dyDescent="0.3">
      <c r="A55" s="1" t="s">
        <v>64</v>
      </c>
      <c r="B55" s="1" t="s">
        <v>314</v>
      </c>
      <c r="C55" s="1" t="s">
        <v>512</v>
      </c>
      <c r="D55" s="1">
        <v>99</v>
      </c>
      <c r="E55" s="1">
        <v>95</v>
      </c>
      <c r="F55" s="1">
        <v>35</v>
      </c>
      <c r="G55" s="1">
        <v>50</v>
      </c>
      <c r="H55" s="1">
        <v>30</v>
      </c>
      <c r="I55" s="1">
        <v>309</v>
      </c>
      <c r="J55" s="1">
        <v>500</v>
      </c>
      <c r="K55" s="3">
        <f t="shared" si="0"/>
        <v>0.61799999999999999</v>
      </c>
      <c r="L55" s="3">
        <f t="shared" si="1"/>
        <v>0.38200000000000001</v>
      </c>
    </row>
    <row r="56" spans="1:12" x14ac:dyDescent="0.3">
      <c r="A56" s="1" t="s">
        <v>65</v>
      </c>
      <c r="B56" s="1" t="s">
        <v>315</v>
      </c>
      <c r="C56" s="1" t="s">
        <v>513</v>
      </c>
      <c r="D56" s="1">
        <v>41</v>
      </c>
      <c r="E56" s="1">
        <v>98</v>
      </c>
      <c r="F56" s="1">
        <v>69</v>
      </c>
      <c r="G56" s="1">
        <v>22</v>
      </c>
      <c r="H56" s="1">
        <v>19</v>
      </c>
      <c r="I56" s="1">
        <v>249</v>
      </c>
      <c r="J56" s="1">
        <v>500</v>
      </c>
      <c r="K56" s="3">
        <f t="shared" si="0"/>
        <v>0.498</v>
      </c>
      <c r="L56" s="3">
        <f t="shared" si="1"/>
        <v>0.502</v>
      </c>
    </row>
    <row r="57" spans="1:12" x14ac:dyDescent="0.3">
      <c r="A57" s="1" t="s">
        <v>66</v>
      </c>
      <c r="B57" s="1" t="s">
        <v>316</v>
      </c>
      <c r="C57" s="1" t="s">
        <v>513</v>
      </c>
      <c r="D57" s="1">
        <v>44</v>
      </c>
      <c r="E57" s="1">
        <v>73</v>
      </c>
      <c r="F57" s="1">
        <v>64</v>
      </c>
      <c r="G57" s="1">
        <v>87</v>
      </c>
      <c r="H57" s="1">
        <v>82</v>
      </c>
      <c r="I57" s="1">
        <v>350</v>
      </c>
      <c r="J57" s="1">
        <v>500</v>
      </c>
      <c r="K57" s="3">
        <f t="shared" si="0"/>
        <v>0.7</v>
      </c>
      <c r="L57" s="3">
        <f t="shared" si="1"/>
        <v>0.30000000000000004</v>
      </c>
    </row>
    <row r="58" spans="1:12" x14ac:dyDescent="0.3">
      <c r="A58" s="1" t="s">
        <v>67</v>
      </c>
      <c r="B58" s="1" t="s">
        <v>317</v>
      </c>
      <c r="C58" s="1" t="s">
        <v>515</v>
      </c>
      <c r="D58" s="1">
        <v>35</v>
      </c>
      <c r="E58" s="1">
        <v>70</v>
      </c>
      <c r="F58" s="1">
        <v>33</v>
      </c>
      <c r="G58" s="1">
        <v>21</v>
      </c>
      <c r="H58" s="1">
        <v>97</v>
      </c>
      <c r="I58" s="1">
        <v>256</v>
      </c>
      <c r="J58" s="1">
        <v>500</v>
      </c>
      <c r="K58" s="3">
        <f t="shared" si="0"/>
        <v>0.51200000000000001</v>
      </c>
      <c r="L58" s="3">
        <f t="shared" si="1"/>
        <v>0.48799999999999999</v>
      </c>
    </row>
    <row r="59" spans="1:12" x14ac:dyDescent="0.3">
      <c r="A59" s="1" t="s">
        <v>68</v>
      </c>
      <c r="B59" s="1" t="s">
        <v>318</v>
      </c>
      <c r="C59" s="1" t="s">
        <v>512</v>
      </c>
      <c r="D59" s="1">
        <v>57</v>
      </c>
      <c r="E59" s="1">
        <v>53</v>
      </c>
      <c r="F59" s="1">
        <v>11</v>
      </c>
      <c r="G59" s="1">
        <v>98</v>
      </c>
      <c r="H59" s="1">
        <v>92</v>
      </c>
      <c r="I59" s="1">
        <v>311</v>
      </c>
      <c r="J59" s="1">
        <v>500</v>
      </c>
      <c r="K59" s="3">
        <f t="shared" si="0"/>
        <v>0.622</v>
      </c>
      <c r="L59" s="3">
        <f t="shared" si="1"/>
        <v>0.378</v>
      </c>
    </row>
    <row r="60" spans="1:12" x14ac:dyDescent="0.3">
      <c r="A60" s="1" t="s">
        <v>69</v>
      </c>
      <c r="B60" s="1" t="s">
        <v>319</v>
      </c>
      <c r="C60" s="1" t="s">
        <v>511</v>
      </c>
      <c r="D60" s="1">
        <v>49</v>
      </c>
      <c r="E60" s="1">
        <v>47</v>
      </c>
      <c r="F60" s="1">
        <v>54</v>
      </c>
      <c r="G60" s="1">
        <v>31</v>
      </c>
      <c r="H60" s="1">
        <v>25</v>
      </c>
      <c r="I60" s="1">
        <v>206</v>
      </c>
      <c r="J60" s="1">
        <v>500</v>
      </c>
      <c r="K60" s="3">
        <f t="shared" si="0"/>
        <v>0.41199999999999998</v>
      </c>
      <c r="L60" s="3">
        <f t="shared" si="1"/>
        <v>0.58800000000000008</v>
      </c>
    </row>
    <row r="61" spans="1:12" x14ac:dyDescent="0.3">
      <c r="A61" s="1" t="s">
        <v>70</v>
      </c>
      <c r="B61" s="1" t="s">
        <v>320</v>
      </c>
      <c r="C61" s="1" t="s">
        <v>511</v>
      </c>
      <c r="D61" s="1">
        <v>75</v>
      </c>
      <c r="E61" s="1">
        <v>81</v>
      </c>
      <c r="F61" s="1">
        <v>79</v>
      </c>
      <c r="G61" s="1">
        <v>91</v>
      </c>
      <c r="H61" s="1">
        <v>91</v>
      </c>
      <c r="I61" s="1">
        <v>417</v>
      </c>
      <c r="J61" s="1">
        <v>500</v>
      </c>
      <c r="K61" s="3">
        <f t="shared" si="0"/>
        <v>0.83399999999999996</v>
      </c>
      <c r="L61" s="3">
        <f t="shared" si="1"/>
        <v>0.16600000000000004</v>
      </c>
    </row>
    <row r="62" spans="1:12" x14ac:dyDescent="0.3">
      <c r="A62" s="1" t="s">
        <v>71</v>
      </c>
      <c r="B62" s="1" t="s">
        <v>321</v>
      </c>
      <c r="C62" s="1" t="s">
        <v>515</v>
      </c>
      <c r="D62" s="1">
        <v>74</v>
      </c>
      <c r="E62" s="1">
        <v>17</v>
      </c>
      <c r="F62" s="1">
        <v>48</v>
      </c>
      <c r="G62" s="1">
        <v>48</v>
      </c>
      <c r="H62" s="1">
        <v>84</v>
      </c>
      <c r="I62" s="1">
        <v>271</v>
      </c>
      <c r="J62" s="1">
        <v>500</v>
      </c>
      <c r="K62" s="3">
        <f t="shared" si="0"/>
        <v>0.54200000000000004</v>
      </c>
      <c r="L62" s="3">
        <f t="shared" si="1"/>
        <v>0.45799999999999996</v>
      </c>
    </row>
    <row r="63" spans="1:12" x14ac:dyDescent="0.3">
      <c r="A63" s="1" t="s">
        <v>72</v>
      </c>
      <c r="B63" s="1" t="s">
        <v>322</v>
      </c>
      <c r="C63" s="1" t="s">
        <v>512</v>
      </c>
      <c r="D63" s="1">
        <v>47</v>
      </c>
      <c r="E63" s="1">
        <v>94</v>
      </c>
      <c r="F63" s="1">
        <v>73</v>
      </c>
      <c r="G63" s="1">
        <v>77</v>
      </c>
      <c r="H63" s="1">
        <v>23</v>
      </c>
      <c r="I63" s="1">
        <v>314</v>
      </c>
      <c r="J63" s="1">
        <v>500</v>
      </c>
      <c r="K63" s="3">
        <f t="shared" si="0"/>
        <v>0.628</v>
      </c>
      <c r="L63" s="3">
        <f t="shared" si="1"/>
        <v>0.372</v>
      </c>
    </row>
    <row r="64" spans="1:12" x14ac:dyDescent="0.3">
      <c r="A64" s="1" t="s">
        <v>73</v>
      </c>
      <c r="B64" s="1" t="s">
        <v>323</v>
      </c>
      <c r="C64" s="1" t="s">
        <v>511</v>
      </c>
      <c r="D64" s="1">
        <v>68</v>
      </c>
      <c r="E64" s="1">
        <v>61</v>
      </c>
      <c r="F64" s="1">
        <v>86</v>
      </c>
      <c r="G64" s="1">
        <v>34</v>
      </c>
      <c r="H64" s="1">
        <v>94</v>
      </c>
      <c r="I64" s="1">
        <v>343</v>
      </c>
      <c r="J64" s="1">
        <v>500</v>
      </c>
      <c r="K64" s="3">
        <f t="shared" si="0"/>
        <v>0.68600000000000005</v>
      </c>
      <c r="L64" s="3">
        <f t="shared" si="1"/>
        <v>0.31399999999999995</v>
      </c>
    </row>
    <row r="65" spans="1:12" x14ac:dyDescent="0.3">
      <c r="A65" s="1" t="s">
        <v>74</v>
      </c>
      <c r="B65" s="1" t="s">
        <v>324</v>
      </c>
      <c r="C65" s="1" t="s">
        <v>514</v>
      </c>
      <c r="D65" s="1">
        <v>42</v>
      </c>
      <c r="E65" s="1">
        <v>100</v>
      </c>
      <c r="F65" s="1">
        <v>77</v>
      </c>
      <c r="G65" s="1">
        <v>77</v>
      </c>
      <c r="H65" s="1">
        <v>97</v>
      </c>
      <c r="I65" s="1">
        <v>393</v>
      </c>
      <c r="J65" s="1">
        <v>500</v>
      </c>
      <c r="K65" s="3">
        <f t="shared" si="0"/>
        <v>0.78600000000000003</v>
      </c>
      <c r="L65" s="3">
        <f t="shared" si="1"/>
        <v>0.21399999999999997</v>
      </c>
    </row>
    <row r="66" spans="1:12" x14ac:dyDescent="0.3">
      <c r="A66" s="1" t="s">
        <v>75</v>
      </c>
      <c r="B66" s="1" t="s">
        <v>325</v>
      </c>
      <c r="C66" s="1" t="s">
        <v>514</v>
      </c>
      <c r="D66" s="1">
        <v>61</v>
      </c>
      <c r="E66" s="1">
        <v>71</v>
      </c>
      <c r="F66" s="1">
        <v>51</v>
      </c>
      <c r="G66" s="1">
        <v>13</v>
      </c>
      <c r="H66" s="1">
        <v>93</v>
      </c>
      <c r="I66" s="1">
        <v>289</v>
      </c>
      <c r="J66" s="1">
        <v>500</v>
      </c>
      <c r="K66" s="3">
        <f t="shared" si="0"/>
        <v>0.57799999999999996</v>
      </c>
      <c r="L66" s="3">
        <f t="shared" si="1"/>
        <v>0.42200000000000004</v>
      </c>
    </row>
    <row r="67" spans="1:12" x14ac:dyDescent="0.3">
      <c r="A67" s="1" t="s">
        <v>76</v>
      </c>
      <c r="B67" s="1" t="s">
        <v>326</v>
      </c>
      <c r="C67" s="1" t="s">
        <v>515</v>
      </c>
      <c r="D67" s="1">
        <v>48</v>
      </c>
      <c r="E67" s="1">
        <v>44</v>
      </c>
      <c r="F67" s="1">
        <v>76</v>
      </c>
      <c r="G67" s="1">
        <v>28</v>
      </c>
      <c r="H67" s="1">
        <v>12</v>
      </c>
      <c r="I67" s="1">
        <v>208</v>
      </c>
      <c r="J67" s="1">
        <v>500</v>
      </c>
      <c r="K67" s="3">
        <f t="shared" ref="K67:K130" si="2">I67/J67</f>
        <v>0.41599999999999998</v>
      </c>
      <c r="L67" s="3">
        <f t="shared" ref="L67:L130" si="3">1-K67</f>
        <v>0.58400000000000007</v>
      </c>
    </row>
    <row r="68" spans="1:12" x14ac:dyDescent="0.3">
      <c r="A68" s="1" t="s">
        <v>77</v>
      </c>
      <c r="B68" s="1" t="s">
        <v>327</v>
      </c>
      <c r="C68" s="1" t="s">
        <v>515</v>
      </c>
      <c r="D68" s="1">
        <v>43</v>
      </c>
      <c r="E68" s="1">
        <v>32</v>
      </c>
      <c r="F68" s="1">
        <v>52</v>
      </c>
      <c r="G68" s="1">
        <v>30</v>
      </c>
      <c r="H68" s="1">
        <v>23</v>
      </c>
      <c r="I68" s="1">
        <v>180</v>
      </c>
      <c r="J68" s="1">
        <v>500</v>
      </c>
      <c r="K68" s="3">
        <f t="shared" si="2"/>
        <v>0.36</v>
      </c>
      <c r="L68" s="3">
        <f t="shared" si="3"/>
        <v>0.64</v>
      </c>
    </row>
    <row r="69" spans="1:12" x14ac:dyDescent="0.3">
      <c r="A69" s="1" t="s">
        <v>78</v>
      </c>
      <c r="B69" s="1" t="s">
        <v>328</v>
      </c>
      <c r="C69" s="1" t="s">
        <v>513</v>
      </c>
      <c r="D69" s="1">
        <v>74</v>
      </c>
      <c r="E69" s="1">
        <v>100</v>
      </c>
      <c r="F69" s="1">
        <v>57</v>
      </c>
      <c r="G69" s="1">
        <v>70</v>
      </c>
      <c r="H69" s="1">
        <v>87</v>
      </c>
      <c r="I69" s="1">
        <v>388</v>
      </c>
      <c r="J69" s="1">
        <v>500</v>
      </c>
      <c r="K69" s="3">
        <f t="shared" si="2"/>
        <v>0.77600000000000002</v>
      </c>
      <c r="L69" s="3">
        <f t="shared" si="3"/>
        <v>0.22399999999999998</v>
      </c>
    </row>
    <row r="70" spans="1:12" x14ac:dyDescent="0.3">
      <c r="A70" s="1" t="s">
        <v>79</v>
      </c>
      <c r="B70" s="1" t="s">
        <v>329</v>
      </c>
      <c r="C70" s="1" t="s">
        <v>516</v>
      </c>
      <c r="D70" s="1">
        <v>28</v>
      </c>
      <c r="E70" s="1">
        <v>80</v>
      </c>
      <c r="F70" s="1">
        <v>52</v>
      </c>
      <c r="G70" s="1">
        <v>89</v>
      </c>
      <c r="H70" s="1">
        <v>67</v>
      </c>
      <c r="I70" s="1">
        <v>316</v>
      </c>
      <c r="J70" s="1">
        <v>500</v>
      </c>
      <c r="K70" s="3">
        <f t="shared" si="2"/>
        <v>0.63200000000000001</v>
      </c>
      <c r="L70" s="3">
        <f t="shared" si="3"/>
        <v>0.36799999999999999</v>
      </c>
    </row>
    <row r="71" spans="1:12" x14ac:dyDescent="0.3">
      <c r="A71" s="1" t="s">
        <v>80</v>
      </c>
      <c r="B71" s="1" t="s">
        <v>330</v>
      </c>
      <c r="C71" s="1" t="s">
        <v>515</v>
      </c>
      <c r="D71" s="1">
        <v>18</v>
      </c>
      <c r="E71" s="1">
        <v>52</v>
      </c>
      <c r="F71" s="1">
        <v>75</v>
      </c>
      <c r="G71" s="1">
        <v>84</v>
      </c>
      <c r="H71" s="1">
        <v>42</v>
      </c>
      <c r="I71" s="1">
        <v>271</v>
      </c>
      <c r="J71" s="1">
        <v>500</v>
      </c>
      <c r="K71" s="3">
        <f t="shared" si="2"/>
        <v>0.54200000000000004</v>
      </c>
      <c r="L71" s="3">
        <f t="shared" si="3"/>
        <v>0.45799999999999996</v>
      </c>
    </row>
    <row r="72" spans="1:12" x14ac:dyDescent="0.3">
      <c r="A72" s="1" t="s">
        <v>81</v>
      </c>
      <c r="B72" s="1" t="s">
        <v>331</v>
      </c>
      <c r="C72" s="1" t="s">
        <v>515</v>
      </c>
      <c r="D72" s="1">
        <v>86</v>
      </c>
      <c r="E72" s="1">
        <v>61</v>
      </c>
      <c r="F72" s="1">
        <v>94</v>
      </c>
      <c r="G72" s="1">
        <v>60</v>
      </c>
      <c r="H72" s="1">
        <v>60</v>
      </c>
      <c r="I72" s="1">
        <v>361</v>
      </c>
      <c r="J72" s="1">
        <v>500</v>
      </c>
      <c r="K72" s="3">
        <f t="shared" si="2"/>
        <v>0.72199999999999998</v>
      </c>
      <c r="L72" s="3">
        <f t="shared" si="3"/>
        <v>0.27800000000000002</v>
      </c>
    </row>
    <row r="73" spans="1:12" x14ac:dyDescent="0.3">
      <c r="A73" s="1" t="s">
        <v>82</v>
      </c>
      <c r="B73" s="1" t="s">
        <v>332</v>
      </c>
      <c r="C73" s="1" t="s">
        <v>516</v>
      </c>
      <c r="D73" s="1">
        <v>43</v>
      </c>
      <c r="E73" s="1">
        <v>81</v>
      </c>
      <c r="F73" s="1">
        <v>25</v>
      </c>
      <c r="G73" s="1">
        <v>100</v>
      </c>
      <c r="H73" s="1">
        <v>35</v>
      </c>
      <c r="I73" s="1">
        <v>284</v>
      </c>
      <c r="J73" s="1">
        <v>500</v>
      </c>
      <c r="K73" s="3">
        <f t="shared" si="2"/>
        <v>0.56799999999999995</v>
      </c>
      <c r="L73" s="3">
        <f t="shared" si="3"/>
        <v>0.43200000000000005</v>
      </c>
    </row>
    <row r="74" spans="1:12" x14ac:dyDescent="0.3">
      <c r="A74" s="1" t="s">
        <v>83</v>
      </c>
      <c r="B74" s="1" t="s">
        <v>333</v>
      </c>
      <c r="C74" s="1" t="s">
        <v>516</v>
      </c>
      <c r="D74" s="1">
        <v>13</v>
      </c>
      <c r="E74" s="1">
        <v>96</v>
      </c>
      <c r="F74" s="1">
        <v>28</v>
      </c>
      <c r="G74" s="1">
        <v>87</v>
      </c>
      <c r="H74" s="1">
        <v>34</v>
      </c>
      <c r="I74" s="1">
        <v>258</v>
      </c>
      <c r="J74" s="1">
        <v>500</v>
      </c>
      <c r="K74" s="3">
        <f t="shared" si="2"/>
        <v>0.51600000000000001</v>
      </c>
      <c r="L74" s="3">
        <f t="shared" si="3"/>
        <v>0.48399999999999999</v>
      </c>
    </row>
    <row r="75" spans="1:12" x14ac:dyDescent="0.3">
      <c r="A75" s="1" t="s">
        <v>84</v>
      </c>
      <c r="B75" s="1" t="s">
        <v>334</v>
      </c>
      <c r="C75" s="1" t="s">
        <v>512</v>
      </c>
      <c r="D75" s="1">
        <v>80</v>
      </c>
      <c r="E75" s="1">
        <v>33</v>
      </c>
      <c r="F75" s="1">
        <v>66</v>
      </c>
      <c r="G75" s="1">
        <v>94</v>
      </c>
      <c r="H75" s="1">
        <v>64</v>
      </c>
      <c r="I75" s="1">
        <v>337</v>
      </c>
      <c r="J75" s="1">
        <v>500</v>
      </c>
      <c r="K75" s="3">
        <f t="shared" si="2"/>
        <v>0.67400000000000004</v>
      </c>
      <c r="L75" s="3">
        <f t="shared" si="3"/>
        <v>0.32599999999999996</v>
      </c>
    </row>
    <row r="76" spans="1:12" x14ac:dyDescent="0.3">
      <c r="A76" s="1" t="s">
        <v>85</v>
      </c>
      <c r="B76" s="1" t="s">
        <v>335</v>
      </c>
      <c r="C76" s="1" t="s">
        <v>516</v>
      </c>
      <c r="D76" s="1">
        <v>46</v>
      </c>
      <c r="E76" s="1">
        <v>16</v>
      </c>
      <c r="F76" s="1">
        <v>100</v>
      </c>
      <c r="G76" s="1">
        <v>87</v>
      </c>
      <c r="H76" s="1">
        <v>67</v>
      </c>
      <c r="I76" s="1">
        <v>316</v>
      </c>
      <c r="J76" s="1">
        <v>500</v>
      </c>
      <c r="K76" s="3">
        <f t="shared" si="2"/>
        <v>0.63200000000000001</v>
      </c>
      <c r="L76" s="3">
        <f t="shared" si="3"/>
        <v>0.36799999999999999</v>
      </c>
    </row>
    <row r="77" spans="1:12" x14ac:dyDescent="0.3">
      <c r="A77" s="1" t="s">
        <v>86</v>
      </c>
      <c r="B77" s="1" t="s">
        <v>336</v>
      </c>
      <c r="C77" s="1" t="s">
        <v>515</v>
      </c>
      <c r="D77" s="1">
        <v>21</v>
      </c>
      <c r="E77" s="1">
        <v>79</v>
      </c>
      <c r="F77" s="1">
        <v>80</v>
      </c>
      <c r="G77" s="1">
        <v>90</v>
      </c>
      <c r="H77" s="1">
        <v>33</v>
      </c>
      <c r="I77" s="1">
        <v>303</v>
      </c>
      <c r="J77" s="1">
        <v>500</v>
      </c>
      <c r="K77" s="3">
        <f t="shared" si="2"/>
        <v>0.60599999999999998</v>
      </c>
      <c r="L77" s="3">
        <f t="shared" si="3"/>
        <v>0.39400000000000002</v>
      </c>
    </row>
    <row r="78" spans="1:12" x14ac:dyDescent="0.3">
      <c r="A78" s="1" t="s">
        <v>87</v>
      </c>
      <c r="B78" s="1" t="s">
        <v>337</v>
      </c>
      <c r="C78" s="1" t="s">
        <v>515</v>
      </c>
      <c r="D78" s="1">
        <v>55</v>
      </c>
      <c r="E78" s="1">
        <v>66</v>
      </c>
      <c r="F78" s="1">
        <v>16</v>
      </c>
      <c r="G78" s="1">
        <v>25</v>
      </c>
      <c r="H78" s="1">
        <v>76</v>
      </c>
      <c r="I78" s="1">
        <v>238</v>
      </c>
      <c r="J78" s="1">
        <v>500</v>
      </c>
      <c r="K78" s="3">
        <f t="shared" si="2"/>
        <v>0.47599999999999998</v>
      </c>
      <c r="L78" s="3">
        <f t="shared" si="3"/>
        <v>0.52400000000000002</v>
      </c>
    </row>
    <row r="79" spans="1:12" x14ac:dyDescent="0.3">
      <c r="A79" s="1" t="s">
        <v>88</v>
      </c>
      <c r="B79" s="1" t="s">
        <v>338</v>
      </c>
      <c r="C79" s="1" t="s">
        <v>514</v>
      </c>
      <c r="D79" s="1">
        <v>87</v>
      </c>
      <c r="E79" s="1">
        <v>98</v>
      </c>
      <c r="F79" s="1">
        <v>95</v>
      </c>
      <c r="G79" s="1">
        <v>66</v>
      </c>
      <c r="H79" s="1">
        <v>67</v>
      </c>
      <c r="I79" s="1">
        <v>413</v>
      </c>
      <c r="J79" s="1">
        <v>500</v>
      </c>
      <c r="K79" s="3">
        <f t="shared" si="2"/>
        <v>0.82599999999999996</v>
      </c>
      <c r="L79" s="3">
        <f t="shared" si="3"/>
        <v>0.17400000000000004</v>
      </c>
    </row>
    <row r="80" spans="1:12" x14ac:dyDescent="0.3">
      <c r="A80" s="1" t="s">
        <v>89</v>
      </c>
      <c r="B80" s="1" t="s">
        <v>339</v>
      </c>
      <c r="C80" s="1" t="s">
        <v>515</v>
      </c>
      <c r="D80" s="1">
        <v>64</v>
      </c>
      <c r="E80" s="1">
        <v>88</v>
      </c>
      <c r="F80" s="1">
        <v>45</v>
      </c>
      <c r="G80" s="1">
        <v>15</v>
      </c>
      <c r="H80" s="1">
        <v>20</v>
      </c>
      <c r="I80" s="1">
        <v>232</v>
      </c>
      <c r="J80" s="1">
        <v>500</v>
      </c>
      <c r="K80" s="3">
        <f t="shared" si="2"/>
        <v>0.46400000000000002</v>
      </c>
      <c r="L80" s="3">
        <f t="shared" si="3"/>
        <v>0.53600000000000003</v>
      </c>
    </row>
    <row r="81" spans="1:12" x14ac:dyDescent="0.3">
      <c r="A81" s="1" t="s">
        <v>90</v>
      </c>
      <c r="B81" s="1" t="s">
        <v>340</v>
      </c>
      <c r="C81" s="1" t="s">
        <v>514</v>
      </c>
      <c r="D81" s="1">
        <v>91</v>
      </c>
      <c r="E81" s="1">
        <v>91</v>
      </c>
      <c r="F81" s="1">
        <v>31</v>
      </c>
      <c r="G81" s="1">
        <v>70</v>
      </c>
      <c r="H81" s="1">
        <v>38</v>
      </c>
      <c r="I81" s="1">
        <v>321</v>
      </c>
      <c r="J81" s="1">
        <v>500</v>
      </c>
      <c r="K81" s="3">
        <f t="shared" si="2"/>
        <v>0.64200000000000002</v>
      </c>
      <c r="L81" s="3">
        <f t="shared" si="3"/>
        <v>0.35799999999999998</v>
      </c>
    </row>
    <row r="82" spans="1:12" x14ac:dyDescent="0.3">
      <c r="A82" s="1" t="s">
        <v>91</v>
      </c>
      <c r="B82" s="1" t="s">
        <v>341</v>
      </c>
      <c r="C82" s="1" t="s">
        <v>511</v>
      </c>
      <c r="D82" s="1">
        <v>34</v>
      </c>
      <c r="E82" s="1">
        <v>14</v>
      </c>
      <c r="F82" s="1">
        <v>98</v>
      </c>
      <c r="G82" s="1">
        <v>53</v>
      </c>
      <c r="H82" s="1">
        <v>77</v>
      </c>
      <c r="I82" s="1">
        <v>276</v>
      </c>
      <c r="J82" s="1">
        <v>500</v>
      </c>
      <c r="K82" s="3">
        <f t="shared" si="2"/>
        <v>0.55200000000000005</v>
      </c>
      <c r="L82" s="3">
        <f t="shared" si="3"/>
        <v>0.44799999999999995</v>
      </c>
    </row>
    <row r="83" spans="1:12" x14ac:dyDescent="0.3">
      <c r="A83" s="1" t="s">
        <v>92</v>
      </c>
      <c r="B83" s="1" t="s">
        <v>342</v>
      </c>
      <c r="C83" s="1" t="s">
        <v>516</v>
      </c>
      <c r="D83" s="1">
        <v>53</v>
      </c>
      <c r="E83" s="1">
        <v>98</v>
      </c>
      <c r="F83" s="1">
        <v>12</v>
      </c>
      <c r="G83" s="1">
        <v>90</v>
      </c>
      <c r="H83" s="1">
        <v>66</v>
      </c>
      <c r="I83" s="1">
        <v>319</v>
      </c>
      <c r="J83" s="1">
        <v>500</v>
      </c>
      <c r="K83" s="3">
        <f t="shared" si="2"/>
        <v>0.63800000000000001</v>
      </c>
      <c r="L83" s="3">
        <f t="shared" si="3"/>
        <v>0.36199999999999999</v>
      </c>
    </row>
    <row r="84" spans="1:12" x14ac:dyDescent="0.3">
      <c r="A84" s="1" t="s">
        <v>93</v>
      </c>
      <c r="B84" s="1" t="s">
        <v>343</v>
      </c>
      <c r="C84" s="1" t="s">
        <v>512</v>
      </c>
      <c r="D84" s="1">
        <v>51</v>
      </c>
      <c r="E84" s="1">
        <v>73</v>
      </c>
      <c r="F84" s="1">
        <v>42</v>
      </c>
      <c r="G84" s="1">
        <v>31</v>
      </c>
      <c r="H84" s="1">
        <v>72</v>
      </c>
      <c r="I84" s="1">
        <v>269</v>
      </c>
      <c r="J84" s="1">
        <v>500</v>
      </c>
      <c r="K84" s="3">
        <f t="shared" si="2"/>
        <v>0.53800000000000003</v>
      </c>
      <c r="L84" s="3">
        <f t="shared" si="3"/>
        <v>0.46199999999999997</v>
      </c>
    </row>
    <row r="85" spans="1:12" x14ac:dyDescent="0.3">
      <c r="A85" s="1" t="s">
        <v>94</v>
      </c>
      <c r="B85" s="1" t="s">
        <v>344</v>
      </c>
      <c r="C85" s="1" t="s">
        <v>516</v>
      </c>
      <c r="D85" s="1">
        <v>24</v>
      </c>
      <c r="E85" s="1">
        <v>39</v>
      </c>
      <c r="F85" s="1">
        <v>21</v>
      </c>
      <c r="G85" s="1">
        <v>69</v>
      </c>
      <c r="H85" s="1">
        <v>83</v>
      </c>
      <c r="I85" s="1">
        <v>236</v>
      </c>
      <c r="J85" s="1">
        <v>500</v>
      </c>
      <c r="K85" s="3">
        <f t="shared" si="2"/>
        <v>0.47199999999999998</v>
      </c>
      <c r="L85" s="3">
        <f t="shared" si="3"/>
        <v>0.52800000000000002</v>
      </c>
    </row>
    <row r="86" spans="1:12" x14ac:dyDescent="0.3">
      <c r="A86" s="1" t="s">
        <v>95</v>
      </c>
      <c r="B86" s="1" t="s">
        <v>345</v>
      </c>
      <c r="C86" s="1" t="s">
        <v>515</v>
      </c>
      <c r="D86" s="1">
        <v>60</v>
      </c>
      <c r="E86" s="1">
        <v>64</v>
      </c>
      <c r="F86" s="1">
        <v>50</v>
      </c>
      <c r="G86" s="1">
        <v>100</v>
      </c>
      <c r="H86" s="1">
        <v>44</v>
      </c>
      <c r="I86" s="1">
        <v>318</v>
      </c>
      <c r="J86" s="1">
        <v>500</v>
      </c>
      <c r="K86" s="3">
        <f t="shared" si="2"/>
        <v>0.63600000000000001</v>
      </c>
      <c r="L86" s="3">
        <f t="shared" si="3"/>
        <v>0.36399999999999999</v>
      </c>
    </row>
    <row r="87" spans="1:12" x14ac:dyDescent="0.3">
      <c r="A87" s="1" t="s">
        <v>96</v>
      </c>
      <c r="B87" s="1" t="s">
        <v>346</v>
      </c>
      <c r="C87" s="1" t="s">
        <v>511</v>
      </c>
      <c r="D87" s="1">
        <v>93</v>
      </c>
      <c r="E87" s="1">
        <v>61</v>
      </c>
      <c r="F87" s="1">
        <v>18</v>
      </c>
      <c r="G87" s="1">
        <v>24</v>
      </c>
      <c r="H87" s="1">
        <v>19</v>
      </c>
      <c r="I87" s="1">
        <v>215</v>
      </c>
      <c r="J87" s="1">
        <v>500</v>
      </c>
      <c r="K87" s="3">
        <f t="shared" si="2"/>
        <v>0.43</v>
      </c>
      <c r="L87" s="3">
        <f t="shared" si="3"/>
        <v>0.57000000000000006</v>
      </c>
    </row>
    <row r="88" spans="1:12" x14ac:dyDescent="0.3">
      <c r="A88" s="1" t="s">
        <v>97</v>
      </c>
      <c r="B88" s="1" t="s">
        <v>347</v>
      </c>
      <c r="C88" s="1" t="s">
        <v>515</v>
      </c>
      <c r="D88" s="1">
        <v>48</v>
      </c>
      <c r="E88" s="1">
        <v>28</v>
      </c>
      <c r="F88" s="1">
        <v>23</v>
      </c>
      <c r="G88" s="1">
        <v>31</v>
      </c>
      <c r="H88" s="1">
        <v>12</v>
      </c>
      <c r="I88" s="1">
        <v>142</v>
      </c>
      <c r="J88" s="1">
        <v>500</v>
      </c>
      <c r="K88" s="3">
        <f t="shared" si="2"/>
        <v>0.28399999999999997</v>
      </c>
      <c r="L88" s="3">
        <f t="shared" si="3"/>
        <v>0.71599999999999997</v>
      </c>
    </row>
    <row r="89" spans="1:12" x14ac:dyDescent="0.3">
      <c r="A89" s="1" t="s">
        <v>98</v>
      </c>
      <c r="B89" s="1" t="s">
        <v>348</v>
      </c>
      <c r="C89" s="1" t="s">
        <v>511</v>
      </c>
      <c r="D89" s="1">
        <v>11</v>
      </c>
      <c r="E89" s="1">
        <v>86</v>
      </c>
      <c r="F89" s="1">
        <v>65</v>
      </c>
      <c r="G89" s="1">
        <v>53</v>
      </c>
      <c r="H89" s="1">
        <v>56</v>
      </c>
      <c r="I89" s="1">
        <v>271</v>
      </c>
      <c r="J89" s="1">
        <v>500</v>
      </c>
      <c r="K89" s="3">
        <f t="shared" si="2"/>
        <v>0.54200000000000004</v>
      </c>
      <c r="L89" s="3">
        <f t="shared" si="3"/>
        <v>0.45799999999999996</v>
      </c>
    </row>
    <row r="90" spans="1:12" x14ac:dyDescent="0.3">
      <c r="A90" s="1" t="s">
        <v>99</v>
      </c>
      <c r="B90" s="1" t="s">
        <v>349</v>
      </c>
      <c r="C90" s="1" t="s">
        <v>512</v>
      </c>
      <c r="D90" s="1">
        <v>90</v>
      </c>
      <c r="E90" s="1">
        <v>36</v>
      </c>
      <c r="F90" s="1">
        <v>49</v>
      </c>
      <c r="G90" s="1">
        <v>57</v>
      </c>
      <c r="H90" s="1">
        <v>72</v>
      </c>
      <c r="I90" s="1">
        <v>304</v>
      </c>
      <c r="J90" s="1">
        <v>500</v>
      </c>
      <c r="K90" s="3">
        <f t="shared" si="2"/>
        <v>0.60799999999999998</v>
      </c>
      <c r="L90" s="3">
        <f t="shared" si="3"/>
        <v>0.39200000000000002</v>
      </c>
    </row>
    <row r="91" spans="1:12" x14ac:dyDescent="0.3">
      <c r="A91" s="1" t="s">
        <v>100</v>
      </c>
      <c r="B91" s="1" t="s">
        <v>350</v>
      </c>
      <c r="C91" s="1" t="s">
        <v>515</v>
      </c>
      <c r="D91" s="1">
        <v>47</v>
      </c>
      <c r="E91" s="1">
        <v>58</v>
      </c>
      <c r="F91" s="1">
        <v>41</v>
      </c>
      <c r="G91" s="1">
        <v>81</v>
      </c>
      <c r="H91" s="1">
        <v>41</v>
      </c>
      <c r="I91" s="1">
        <v>268</v>
      </c>
      <c r="J91" s="1">
        <v>500</v>
      </c>
      <c r="K91" s="3">
        <f t="shared" si="2"/>
        <v>0.53600000000000003</v>
      </c>
      <c r="L91" s="3">
        <f t="shared" si="3"/>
        <v>0.46399999999999997</v>
      </c>
    </row>
    <row r="92" spans="1:12" x14ac:dyDescent="0.3">
      <c r="A92" s="1" t="s">
        <v>101</v>
      </c>
      <c r="B92" s="1" t="s">
        <v>351</v>
      </c>
      <c r="C92" s="1" t="s">
        <v>511</v>
      </c>
      <c r="D92" s="1">
        <v>99</v>
      </c>
      <c r="E92" s="1">
        <v>79</v>
      </c>
      <c r="F92" s="1">
        <v>94</v>
      </c>
      <c r="G92" s="1">
        <v>44</v>
      </c>
      <c r="H92" s="1">
        <v>52</v>
      </c>
      <c r="I92" s="1">
        <v>368</v>
      </c>
      <c r="J92" s="1">
        <v>500</v>
      </c>
      <c r="K92" s="3">
        <f t="shared" si="2"/>
        <v>0.73599999999999999</v>
      </c>
      <c r="L92" s="3">
        <f t="shared" si="3"/>
        <v>0.26400000000000001</v>
      </c>
    </row>
    <row r="93" spans="1:12" x14ac:dyDescent="0.3">
      <c r="A93" s="1" t="s">
        <v>102</v>
      </c>
      <c r="B93" s="1" t="s">
        <v>352</v>
      </c>
      <c r="C93" s="1" t="s">
        <v>512</v>
      </c>
      <c r="D93" s="1">
        <v>40</v>
      </c>
      <c r="E93" s="1">
        <v>41</v>
      </c>
      <c r="F93" s="1">
        <v>94</v>
      </c>
      <c r="G93" s="1">
        <v>12</v>
      </c>
      <c r="H93" s="1">
        <v>92</v>
      </c>
      <c r="I93" s="1">
        <v>279</v>
      </c>
      <c r="J93" s="1">
        <v>500</v>
      </c>
      <c r="K93" s="3">
        <f t="shared" si="2"/>
        <v>0.55800000000000005</v>
      </c>
      <c r="L93" s="3">
        <f t="shared" si="3"/>
        <v>0.44199999999999995</v>
      </c>
    </row>
    <row r="94" spans="1:12" x14ac:dyDescent="0.3">
      <c r="A94" s="1" t="s">
        <v>103</v>
      </c>
      <c r="B94" s="1" t="s">
        <v>353</v>
      </c>
      <c r="C94" s="1" t="s">
        <v>516</v>
      </c>
      <c r="D94" s="1">
        <v>21</v>
      </c>
      <c r="E94" s="1">
        <v>19</v>
      </c>
      <c r="F94" s="1">
        <v>76</v>
      </c>
      <c r="G94" s="1">
        <v>82</v>
      </c>
      <c r="H94" s="1">
        <v>27</v>
      </c>
      <c r="I94" s="1">
        <v>225</v>
      </c>
      <c r="J94" s="1">
        <v>500</v>
      </c>
      <c r="K94" s="3">
        <f t="shared" si="2"/>
        <v>0.45</v>
      </c>
      <c r="L94" s="3">
        <f t="shared" si="3"/>
        <v>0.55000000000000004</v>
      </c>
    </row>
    <row r="95" spans="1:12" x14ac:dyDescent="0.3">
      <c r="A95" s="1" t="s">
        <v>104</v>
      </c>
      <c r="B95" s="1" t="s">
        <v>354</v>
      </c>
      <c r="C95" s="1" t="s">
        <v>514</v>
      </c>
      <c r="D95" s="1">
        <v>34</v>
      </c>
      <c r="E95" s="1">
        <v>22</v>
      </c>
      <c r="F95" s="1">
        <v>68</v>
      </c>
      <c r="G95" s="1">
        <v>32</v>
      </c>
      <c r="H95" s="1">
        <v>84</v>
      </c>
      <c r="I95" s="1">
        <v>240</v>
      </c>
      <c r="J95" s="1">
        <v>500</v>
      </c>
      <c r="K95" s="3">
        <f t="shared" si="2"/>
        <v>0.48</v>
      </c>
      <c r="L95" s="3">
        <f t="shared" si="3"/>
        <v>0.52</v>
      </c>
    </row>
    <row r="96" spans="1:12" x14ac:dyDescent="0.3">
      <c r="A96" s="1" t="s">
        <v>105</v>
      </c>
      <c r="B96" s="1" t="s">
        <v>355</v>
      </c>
      <c r="C96" s="1" t="s">
        <v>515</v>
      </c>
      <c r="D96" s="1">
        <v>38</v>
      </c>
      <c r="E96" s="1">
        <v>72</v>
      </c>
      <c r="F96" s="1">
        <v>69</v>
      </c>
      <c r="G96" s="1">
        <v>72</v>
      </c>
      <c r="H96" s="1">
        <v>31</v>
      </c>
      <c r="I96" s="1">
        <v>282</v>
      </c>
      <c r="J96" s="1">
        <v>500</v>
      </c>
      <c r="K96" s="3">
        <f t="shared" si="2"/>
        <v>0.56399999999999995</v>
      </c>
      <c r="L96" s="3">
        <f t="shared" si="3"/>
        <v>0.43600000000000005</v>
      </c>
    </row>
    <row r="97" spans="1:12" x14ac:dyDescent="0.3">
      <c r="A97" s="1" t="s">
        <v>106</v>
      </c>
      <c r="B97" s="1" t="s">
        <v>356</v>
      </c>
      <c r="C97" s="1" t="s">
        <v>511</v>
      </c>
      <c r="D97" s="1">
        <v>14</v>
      </c>
      <c r="E97" s="1">
        <v>36</v>
      </c>
      <c r="F97" s="1">
        <v>22</v>
      </c>
      <c r="G97" s="1">
        <v>52</v>
      </c>
      <c r="H97" s="1">
        <v>42</v>
      </c>
      <c r="I97" s="1">
        <v>166</v>
      </c>
      <c r="J97" s="1">
        <v>500</v>
      </c>
      <c r="K97" s="3">
        <f t="shared" si="2"/>
        <v>0.33200000000000002</v>
      </c>
      <c r="L97" s="3">
        <f t="shared" si="3"/>
        <v>0.66799999999999993</v>
      </c>
    </row>
    <row r="98" spans="1:12" x14ac:dyDescent="0.3">
      <c r="A98" s="1" t="s">
        <v>107</v>
      </c>
      <c r="B98" s="1" t="s">
        <v>357</v>
      </c>
      <c r="C98" s="1" t="s">
        <v>515</v>
      </c>
      <c r="D98" s="1">
        <v>25</v>
      </c>
      <c r="E98" s="1">
        <v>11</v>
      </c>
      <c r="F98" s="1">
        <v>30</v>
      </c>
      <c r="G98" s="1">
        <v>11</v>
      </c>
      <c r="H98" s="1">
        <v>49</v>
      </c>
      <c r="I98" s="1">
        <v>126</v>
      </c>
      <c r="J98" s="1">
        <v>500</v>
      </c>
      <c r="K98" s="3">
        <f t="shared" si="2"/>
        <v>0.252</v>
      </c>
      <c r="L98" s="3">
        <f t="shared" si="3"/>
        <v>0.748</v>
      </c>
    </row>
    <row r="99" spans="1:12" x14ac:dyDescent="0.3">
      <c r="A99" s="1" t="s">
        <v>108</v>
      </c>
      <c r="B99" s="1" t="s">
        <v>358</v>
      </c>
      <c r="C99" s="1" t="s">
        <v>512</v>
      </c>
      <c r="D99" s="1">
        <v>91</v>
      </c>
      <c r="E99" s="1">
        <v>70</v>
      </c>
      <c r="F99" s="1">
        <v>20</v>
      </c>
      <c r="G99" s="1">
        <v>33</v>
      </c>
      <c r="H99" s="1">
        <v>28</v>
      </c>
      <c r="I99" s="1">
        <v>242</v>
      </c>
      <c r="J99" s="1">
        <v>500</v>
      </c>
      <c r="K99" s="3">
        <f t="shared" si="2"/>
        <v>0.48399999999999999</v>
      </c>
      <c r="L99" s="3">
        <f t="shared" si="3"/>
        <v>0.51600000000000001</v>
      </c>
    </row>
    <row r="100" spans="1:12" x14ac:dyDescent="0.3">
      <c r="A100" s="1" t="s">
        <v>109</v>
      </c>
      <c r="B100" s="1" t="s">
        <v>359</v>
      </c>
      <c r="C100" s="1" t="s">
        <v>513</v>
      </c>
      <c r="D100" s="1">
        <v>84</v>
      </c>
      <c r="E100" s="1">
        <v>26</v>
      </c>
      <c r="F100" s="1">
        <v>28</v>
      </c>
      <c r="G100" s="1">
        <v>51</v>
      </c>
      <c r="H100" s="1">
        <v>46</v>
      </c>
      <c r="I100" s="1">
        <v>235</v>
      </c>
      <c r="J100" s="1">
        <v>500</v>
      </c>
      <c r="K100" s="3">
        <f t="shared" si="2"/>
        <v>0.47</v>
      </c>
      <c r="L100" s="3">
        <f t="shared" si="3"/>
        <v>0.53</v>
      </c>
    </row>
    <row r="101" spans="1:12" x14ac:dyDescent="0.3">
      <c r="A101" s="1" t="s">
        <v>110</v>
      </c>
      <c r="B101" s="1" t="s">
        <v>360</v>
      </c>
      <c r="C101" s="1" t="s">
        <v>512</v>
      </c>
      <c r="D101" s="1">
        <v>68</v>
      </c>
      <c r="E101" s="1">
        <v>30</v>
      </c>
      <c r="F101" s="1">
        <v>16</v>
      </c>
      <c r="G101" s="1">
        <v>27</v>
      </c>
      <c r="H101" s="1">
        <v>84</v>
      </c>
      <c r="I101" s="1">
        <v>225</v>
      </c>
      <c r="J101" s="1">
        <v>500</v>
      </c>
      <c r="K101" s="3">
        <f t="shared" si="2"/>
        <v>0.45</v>
      </c>
      <c r="L101" s="3">
        <f t="shared" si="3"/>
        <v>0.55000000000000004</v>
      </c>
    </row>
    <row r="102" spans="1:12" x14ac:dyDescent="0.3">
      <c r="A102" s="1" t="s">
        <v>111</v>
      </c>
      <c r="B102" s="1" t="s">
        <v>361</v>
      </c>
      <c r="C102" s="1" t="s">
        <v>512</v>
      </c>
      <c r="D102" s="1">
        <v>13</v>
      </c>
      <c r="E102" s="1">
        <v>20</v>
      </c>
      <c r="F102" s="1">
        <v>53</v>
      </c>
      <c r="G102" s="1">
        <v>20</v>
      </c>
      <c r="H102" s="1">
        <v>95</v>
      </c>
      <c r="I102" s="1">
        <v>201</v>
      </c>
      <c r="J102" s="1">
        <v>500</v>
      </c>
      <c r="K102" s="3">
        <f t="shared" si="2"/>
        <v>0.40200000000000002</v>
      </c>
      <c r="L102" s="3">
        <f t="shared" si="3"/>
        <v>0.59799999999999998</v>
      </c>
    </row>
    <row r="103" spans="1:12" x14ac:dyDescent="0.3">
      <c r="A103" s="1" t="s">
        <v>112</v>
      </c>
      <c r="B103" s="1" t="s">
        <v>362</v>
      </c>
      <c r="C103" s="1" t="s">
        <v>515</v>
      </c>
      <c r="D103" s="1">
        <v>24</v>
      </c>
      <c r="E103" s="1">
        <v>30</v>
      </c>
      <c r="F103" s="1">
        <v>73</v>
      </c>
      <c r="G103" s="1">
        <v>63</v>
      </c>
      <c r="H103" s="1">
        <v>71</v>
      </c>
      <c r="I103" s="1">
        <v>261</v>
      </c>
      <c r="J103" s="1">
        <v>500</v>
      </c>
      <c r="K103" s="3">
        <f t="shared" si="2"/>
        <v>0.52200000000000002</v>
      </c>
      <c r="L103" s="3">
        <f t="shared" si="3"/>
        <v>0.47799999999999998</v>
      </c>
    </row>
    <row r="104" spans="1:12" x14ac:dyDescent="0.3">
      <c r="A104" s="1" t="s">
        <v>113</v>
      </c>
      <c r="B104" s="1" t="s">
        <v>363</v>
      </c>
      <c r="C104" s="1" t="s">
        <v>512</v>
      </c>
      <c r="D104" s="1">
        <v>82</v>
      </c>
      <c r="E104" s="1">
        <v>41</v>
      </c>
      <c r="F104" s="1">
        <v>12</v>
      </c>
      <c r="G104" s="1">
        <v>61</v>
      </c>
      <c r="H104" s="1">
        <v>46</v>
      </c>
      <c r="I104" s="1">
        <v>242</v>
      </c>
      <c r="J104" s="1">
        <v>500</v>
      </c>
      <c r="K104" s="3">
        <f t="shared" si="2"/>
        <v>0.48399999999999999</v>
      </c>
      <c r="L104" s="3">
        <f t="shared" si="3"/>
        <v>0.51600000000000001</v>
      </c>
    </row>
    <row r="105" spans="1:12" x14ac:dyDescent="0.3">
      <c r="A105" s="1" t="s">
        <v>114</v>
      </c>
      <c r="B105" s="1" t="s">
        <v>364</v>
      </c>
      <c r="C105" s="1" t="s">
        <v>513</v>
      </c>
      <c r="D105" s="1">
        <v>78</v>
      </c>
      <c r="E105" s="1">
        <v>91</v>
      </c>
      <c r="F105" s="1">
        <v>26</v>
      </c>
      <c r="G105" s="1">
        <v>92</v>
      </c>
      <c r="H105" s="1">
        <v>94</v>
      </c>
      <c r="I105" s="1">
        <v>381</v>
      </c>
      <c r="J105" s="1">
        <v>500</v>
      </c>
      <c r="K105" s="3">
        <f t="shared" si="2"/>
        <v>0.76200000000000001</v>
      </c>
      <c r="L105" s="3">
        <f t="shared" si="3"/>
        <v>0.23799999999999999</v>
      </c>
    </row>
    <row r="106" spans="1:12" x14ac:dyDescent="0.3">
      <c r="A106" s="1" t="s">
        <v>115</v>
      </c>
      <c r="B106" s="1" t="s">
        <v>365</v>
      </c>
      <c r="C106" s="1" t="s">
        <v>515</v>
      </c>
      <c r="D106" s="1">
        <v>81</v>
      </c>
      <c r="E106" s="1">
        <v>41</v>
      </c>
      <c r="F106" s="1">
        <v>89</v>
      </c>
      <c r="G106" s="1">
        <v>28</v>
      </c>
      <c r="H106" s="1">
        <v>38</v>
      </c>
      <c r="I106" s="1">
        <v>277</v>
      </c>
      <c r="J106" s="1">
        <v>500</v>
      </c>
      <c r="K106" s="3">
        <f t="shared" si="2"/>
        <v>0.55400000000000005</v>
      </c>
      <c r="L106" s="3">
        <f t="shared" si="3"/>
        <v>0.44599999999999995</v>
      </c>
    </row>
    <row r="107" spans="1:12" x14ac:dyDescent="0.3">
      <c r="A107" s="1" t="s">
        <v>116</v>
      </c>
      <c r="B107" s="1" t="s">
        <v>366</v>
      </c>
      <c r="C107" s="1" t="s">
        <v>512</v>
      </c>
      <c r="D107" s="1">
        <v>58</v>
      </c>
      <c r="E107" s="1">
        <v>35</v>
      </c>
      <c r="F107" s="1">
        <v>37</v>
      </c>
      <c r="G107" s="1">
        <v>89</v>
      </c>
      <c r="H107" s="1">
        <v>22</v>
      </c>
      <c r="I107" s="1">
        <v>241</v>
      </c>
      <c r="J107" s="1">
        <v>500</v>
      </c>
      <c r="K107" s="3">
        <f t="shared" si="2"/>
        <v>0.48199999999999998</v>
      </c>
      <c r="L107" s="3">
        <f t="shared" si="3"/>
        <v>0.51800000000000002</v>
      </c>
    </row>
    <row r="108" spans="1:12" x14ac:dyDescent="0.3">
      <c r="A108" s="1" t="s">
        <v>117</v>
      </c>
      <c r="B108" s="1" t="s">
        <v>367</v>
      </c>
      <c r="C108" s="1" t="s">
        <v>511</v>
      </c>
      <c r="D108" s="1">
        <v>83</v>
      </c>
      <c r="E108" s="1">
        <v>35</v>
      </c>
      <c r="F108" s="1">
        <v>49</v>
      </c>
      <c r="G108" s="1">
        <v>44</v>
      </c>
      <c r="H108" s="1">
        <v>79</v>
      </c>
      <c r="I108" s="1">
        <v>290</v>
      </c>
      <c r="J108" s="1">
        <v>500</v>
      </c>
      <c r="K108" s="3">
        <f t="shared" si="2"/>
        <v>0.57999999999999996</v>
      </c>
      <c r="L108" s="3">
        <f t="shared" si="3"/>
        <v>0.42000000000000004</v>
      </c>
    </row>
    <row r="109" spans="1:12" x14ac:dyDescent="0.3">
      <c r="A109" s="1" t="s">
        <v>118</v>
      </c>
      <c r="B109" s="1" t="s">
        <v>368</v>
      </c>
      <c r="C109" s="1" t="s">
        <v>513</v>
      </c>
      <c r="D109" s="1">
        <v>35</v>
      </c>
      <c r="E109" s="1">
        <v>92</v>
      </c>
      <c r="F109" s="1">
        <v>83</v>
      </c>
      <c r="G109" s="1">
        <v>11</v>
      </c>
      <c r="H109" s="1">
        <v>98</v>
      </c>
      <c r="I109" s="1">
        <v>319</v>
      </c>
      <c r="J109" s="1">
        <v>500</v>
      </c>
      <c r="K109" s="3">
        <f t="shared" si="2"/>
        <v>0.63800000000000001</v>
      </c>
      <c r="L109" s="3">
        <f t="shared" si="3"/>
        <v>0.36199999999999999</v>
      </c>
    </row>
    <row r="110" spans="1:12" x14ac:dyDescent="0.3">
      <c r="A110" s="1" t="s">
        <v>119</v>
      </c>
      <c r="B110" s="1" t="s">
        <v>369</v>
      </c>
      <c r="C110" s="1" t="s">
        <v>513</v>
      </c>
      <c r="D110" s="1">
        <v>46</v>
      </c>
      <c r="E110" s="1">
        <v>56</v>
      </c>
      <c r="F110" s="1">
        <v>14</v>
      </c>
      <c r="G110" s="1">
        <v>78</v>
      </c>
      <c r="H110" s="1">
        <v>25</v>
      </c>
      <c r="I110" s="1">
        <v>219</v>
      </c>
      <c r="J110" s="1">
        <v>500</v>
      </c>
      <c r="K110" s="3">
        <f t="shared" si="2"/>
        <v>0.438</v>
      </c>
      <c r="L110" s="3">
        <f t="shared" si="3"/>
        <v>0.56200000000000006</v>
      </c>
    </row>
    <row r="111" spans="1:12" x14ac:dyDescent="0.3">
      <c r="A111" s="1" t="s">
        <v>120</v>
      </c>
      <c r="B111" s="1" t="s">
        <v>370</v>
      </c>
      <c r="C111" s="1" t="s">
        <v>514</v>
      </c>
      <c r="D111" s="1">
        <v>76</v>
      </c>
      <c r="E111" s="1">
        <v>34</v>
      </c>
      <c r="F111" s="1">
        <v>11</v>
      </c>
      <c r="G111" s="1">
        <v>91</v>
      </c>
      <c r="H111" s="1">
        <v>99</v>
      </c>
      <c r="I111" s="1">
        <v>311</v>
      </c>
      <c r="J111" s="1">
        <v>500</v>
      </c>
      <c r="K111" s="3">
        <f t="shared" si="2"/>
        <v>0.622</v>
      </c>
      <c r="L111" s="3">
        <f t="shared" si="3"/>
        <v>0.378</v>
      </c>
    </row>
    <row r="112" spans="1:12" x14ac:dyDescent="0.3">
      <c r="A112" s="1" t="s">
        <v>121</v>
      </c>
      <c r="B112" s="1" t="s">
        <v>371</v>
      </c>
      <c r="C112" s="1" t="s">
        <v>515</v>
      </c>
      <c r="D112" s="1">
        <v>98</v>
      </c>
      <c r="E112" s="1">
        <v>56</v>
      </c>
      <c r="F112" s="1">
        <v>94</v>
      </c>
      <c r="G112" s="1">
        <v>14</v>
      </c>
      <c r="H112" s="1">
        <v>77</v>
      </c>
      <c r="I112" s="1">
        <v>339</v>
      </c>
      <c r="J112" s="1">
        <v>500</v>
      </c>
      <c r="K112" s="3">
        <f t="shared" si="2"/>
        <v>0.67800000000000005</v>
      </c>
      <c r="L112" s="3">
        <f t="shared" si="3"/>
        <v>0.32199999999999995</v>
      </c>
    </row>
    <row r="113" spans="1:12" x14ac:dyDescent="0.3">
      <c r="A113" s="1" t="s">
        <v>122</v>
      </c>
      <c r="B113" s="1" t="s">
        <v>372</v>
      </c>
      <c r="C113" s="1" t="s">
        <v>515</v>
      </c>
      <c r="D113" s="1">
        <v>22</v>
      </c>
      <c r="E113" s="1">
        <v>64</v>
      </c>
      <c r="F113" s="1">
        <v>76</v>
      </c>
      <c r="G113" s="1">
        <v>79</v>
      </c>
      <c r="H113" s="1">
        <v>61</v>
      </c>
      <c r="I113" s="1">
        <v>302</v>
      </c>
      <c r="J113" s="1">
        <v>500</v>
      </c>
      <c r="K113" s="3">
        <f t="shared" si="2"/>
        <v>0.60399999999999998</v>
      </c>
      <c r="L113" s="3">
        <f t="shared" si="3"/>
        <v>0.39600000000000002</v>
      </c>
    </row>
    <row r="114" spans="1:12" x14ac:dyDescent="0.3">
      <c r="A114" s="1" t="s">
        <v>123</v>
      </c>
      <c r="B114" s="1" t="s">
        <v>373</v>
      </c>
      <c r="C114" s="1" t="s">
        <v>514</v>
      </c>
      <c r="D114" s="1">
        <v>60</v>
      </c>
      <c r="E114" s="1">
        <v>100</v>
      </c>
      <c r="F114" s="1">
        <v>74</v>
      </c>
      <c r="G114" s="1">
        <v>93</v>
      </c>
      <c r="H114" s="1">
        <v>94</v>
      </c>
      <c r="I114" s="1">
        <v>421</v>
      </c>
      <c r="J114" s="1">
        <v>500</v>
      </c>
      <c r="K114" s="3">
        <f t="shared" si="2"/>
        <v>0.84199999999999997</v>
      </c>
      <c r="L114" s="3">
        <f t="shared" si="3"/>
        <v>0.15800000000000003</v>
      </c>
    </row>
    <row r="115" spans="1:12" x14ac:dyDescent="0.3">
      <c r="A115" s="1" t="s">
        <v>124</v>
      </c>
      <c r="B115" s="1" t="s">
        <v>374</v>
      </c>
      <c r="C115" s="1" t="s">
        <v>511</v>
      </c>
      <c r="D115" s="1">
        <v>77</v>
      </c>
      <c r="E115" s="1">
        <v>15</v>
      </c>
      <c r="F115" s="1">
        <v>45</v>
      </c>
      <c r="G115" s="1">
        <v>85</v>
      </c>
      <c r="H115" s="1">
        <v>95</v>
      </c>
      <c r="I115" s="1">
        <v>317</v>
      </c>
      <c r="J115" s="1">
        <v>500</v>
      </c>
      <c r="K115" s="3">
        <f t="shared" si="2"/>
        <v>0.63400000000000001</v>
      </c>
      <c r="L115" s="3">
        <f t="shared" si="3"/>
        <v>0.36599999999999999</v>
      </c>
    </row>
    <row r="116" spans="1:12" x14ac:dyDescent="0.3">
      <c r="A116" s="1" t="s">
        <v>125</v>
      </c>
      <c r="B116" s="1" t="s">
        <v>375</v>
      </c>
      <c r="C116" s="1" t="s">
        <v>511</v>
      </c>
      <c r="D116" s="1">
        <v>43</v>
      </c>
      <c r="E116" s="1">
        <v>25</v>
      </c>
      <c r="F116" s="1">
        <v>46</v>
      </c>
      <c r="G116" s="1">
        <v>100</v>
      </c>
      <c r="H116" s="1">
        <v>43</v>
      </c>
      <c r="I116" s="1">
        <v>257</v>
      </c>
      <c r="J116" s="1">
        <v>500</v>
      </c>
      <c r="K116" s="3">
        <f t="shared" si="2"/>
        <v>0.51400000000000001</v>
      </c>
      <c r="L116" s="3">
        <f t="shared" si="3"/>
        <v>0.48599999999999999</v>
      </c>
    </row>
    <row r="117" spans="1:12" x14ac:dyDescent="0.3">
      <c r="A117" s="1" t="s">
        <v>126</v>
      </c>
      <c r="B117" s="1" t="s">
        <v>376</v>
      </c>
      <c r="C117" s="1" t="s">
        <v>511</v>
      </c>
      <c r="D117" s="1">
        <v>97</v>
      </c>
      <c r="E117" s="1">
        <v>65</v>
      </c>
      <c r="F117" s="1">
        <v>81</v>
      </c>
      <c r="G117" s="1">
        <v>96</v>
      </c>
      <c r="H117" s="1">
        <v>64</v>
      </c>
      <c r="I117" s="1">
        <v>403</v>
      </c>
      <c r="J117" s="1">
        <v>500</v>
      </c>
      <c r="K117" s="3">
        <f t="shared" si="2"/>
        <v>0.80600000000000005</v>
      </c>
      <c r="L117" s="3">
        <f t="shared" si="3"/>
        <v>0.19399999999999995</v>
      </c>
    </row>
    <row r="118" spans="1:12" x14ac:dyDescent="0.3">
      <c r="A118" s="1" t="s">
        <v>127</v>
      </c>
      <c r="B118" s="1" t="s">
        <v>377</v>
      </c>
      <c r="C118" s="1" t="s">
        <v>514</v>
      </c>
      <c r="D118" s="1">
        <v>46</v>
      </c>
      <c r="E118" s="1">
        <v>15</v>
      </c>
      <c r="F118" s="1">
        <v>51</v>
      </c>
      <c r="G118" s="1">
        <v>91</v>
      </c>
      <c r="H118" s="1">
        <v>63</v>
      </c>
      <c r="I118" s="1">
        <v>266</v>
      </c>
      <c r="J118" s="1">
        <v>500</v>
      </c>
      <c r="K118" s="3">
        <f t="shared" si="2"/>
        <v>0.53200000000000003</v>
      </c>
      <c r="L118" s="3">
        <f t="shared" si="3"/>
        <v>0.46799999999999997</v>
      </c>
    </row>
    <row r="119" spans="1:12" x14ac:dyDescent="0.3">
      <c r="A119" s="1" t="s">
        <v>128</v>
      </c>
      <c r="B119" s="1" t="s">
        <v>378</v>
      </c>
      <c r="C119" s="1" t="s">
        <v>513</v>
      </c>
      <c r="D119" s="1">
        <v>10</v>
      </c>
      <c r="E119" s="1">
        <v>65</v>
      </c>
      <c r="F119" s="1">
        <v>68</v>
      </c>
      <c r="G119" s="1">
        <v>21</v>
      </c>
      <c r="H119" s="1">
        <v>10</v>
      </c>
      <c r="I119" s="1">
        <v>174</v>
      </c>
      <c r="J119" s="1">
        <v>500</v>
      </c>
      <c r="K119" s="3">
        <f t="shared" si="2"/>
        <v>0.34799999999999998</v>
      </c>
      <c r="L119" s="3">
        <f t="shared" si="3"/>
        <v>0.65200000000000002</v>
      </c>
    </row>
    <row r="120" spans="1:12" x14ac:dyDescent="0.3">
      <c r="A120" s="1" t="s">
        <v>129</v>
      </c>
      <c r="B120" s="1" t="s">
        <v>379</v>
      </c>
      <c r="C120" s="1" t="s">
        <v>515</v>
      </c>
      <c r="D120" s="1">
        <v>25</v>
      </c>
      <c r="E120" s="1">
        <v>51</v>
      </c>
      <c r="F120" s="1">
        <v>95</v>
      </c>
      <c r="G120" s="1">
        <v>60</v>
      </c>
      <c r="H120" s="1">
        <v>33</v>
      </c>
      <c r="I120" s="1">
        <v>264</v>
      </c>
      <c r="J120" s="1">
        <v>500</v>
      </c>
      <c r="K120" s="3">
        <f t="shared" si="2"/>
        <v>0.52800000000000002</v>
      </c>
      <c r="L120" s="3">
        <f t="shared" si="3"/>
        <v>0.47199999999999998</v>
      </c>
    </row>
    <row r="121" spans="1:12" x14ac:dyDescent="0.3">
      <c r="A121" s="1" t="s">
        <v>130</v>
      </c>
      <c r="B121" s="1" t="s">
        <v>380</v>
      </c>
      <c r="C121" s="1" t="s">
        <v>511</v>
      </c>
      <c r="D121" s="1">
        <v>61</v>
      </c>
      <c r="E121" s="1">
        <v>62</v>
      </c>
      <c r="F121" s="1">
        <v>69</v>
      </c>
      <c r="G121" s="1">
        <v>99</v>
      </c>
      <c r="H121" s="1">
        <v>12</v>
      </c>
      <c r="I121" s="1">
        <v>303</v>
      </c>
      <c r="J121" s="1">
        <v>500</v>
      </c>
      <c r="K121" s="3">
        <f t="shared" si="2"/>
        <v>0.60599999999999998</v>
      </c>
      <c r="L121" s="3">
        <f t="shared" si="3"/>
        <v>0.39400000000000002</v>
      </c>
    </row>
    <row r="122" spans="1:12" x14ac:dyDescent="0.3">
      <c r="A122" s="1" t="s">
        <v>131</v>
      </c>
      <c r="B122" s="1" t="s">
        <v>381</v>
      </c>
      <c r="C122" s="1" t="s">
        <v>515</v>
      </c>
      <c r="D122" s="1">
        <v>44</v>
      </c>
      <c r="E122" s="1">
        <v>27</v>
      </c>
      <c r="F122" s="1">
        <v>83</v>
      </c>
      <c r="G122" s="1">
        <v>76</v>
      </c>
      <c r="H122" s="1">
        <v>92</v>
      </c>
      <c r="I122" s="1">
        <v>322</v>
      </c>
      <c r="J122" s="1">
        <v>500</v>
      </c>
      <c r="K122" s="3">
        <f t="shared" si="2"/>
        <v>0.64400000000000002</v>
      </c>
      <c r="L122" s="3">
        <f t="shared" si="3"/>
        <v>0.35599999999999998</v>
      </c>
    </row>
    <row r="123" spans="1:12" x14ac:dyDescent="0.3">
      <c r="A123" s="1" t="s">
        <v>132</v>
      </c>
      <c r="B123" s="1" t="s">
        <v>382</v>
      </c>
      <c r="C123" s="1" t="s">
        <v>511</v>
      </c>
      <c r="D123" s="1">
        <v>90</v>
      </c>
      <c r="E123" s="1">
        <v>16</v>
      </c>
      <c r="F123" s="1">
        <v>76</v>
      </c>
      <c r="G123" s="1">
        <v>55</v>
      </c>
      <c r="H123" s="1">
        <v>29</v>
      </c>
      <c r="I123" s="1">
        <v>266</v>
      </c>
      <c r="J123" s="1">
        <v>500</v>
      </c>
      <c r="K123" s="3">
        <f t="shared" si="2"/>
        <v>0.53200000000000003</v>
      </c>
      <c r="L123" s="3">
        <f t="shared" si="3"/>
        <v>0.46799999999999997</v>
      </c>
    </row>
    <row r="124" spans="1:12" x14ac:dyDescent="0.3">
      <c r="A124" s="1" t="s">
        <v>133</v>
      </c>
      <c r="B124" s="1" t="s">
        <v>383</v>
      </c>
      <c r="C124" s="1" t="s">
        <v>512</v>
      </c>
      <c r="D124" s="1">
        <v>44</v>
      </c>
      <c r="E124" s="1">
        <v>32</v>
      </c>
      <c r="F124" s="1">
        <v>51</v>
      </c>
      <c r="G124" s="1">
        <v>69</v>
      </c>
      <c r="H124" s="1">
        <v>25</v>
      </c>
      <c r="I124" s="1">
        <v>221</v>
      </c>
      <c r="J124" s="1">
        <v>500</v>
      </c>
      <c r="K124" s="3">
        <f t="shared" si="2"/>
        <v>0.442</v>
      </c>
      <c r="L124" s="3">
        <f t="shared" si="3"/>
        <v>0.55800000000000005</v>
      </c>
    </row>
    <row r="125" spans="1:12" x14ac:dyDescent="0.3">
      <c r="A125" s="1" t="s">
        <v>134</v>
      </c>
      <c r="B125" s="1" t="s">
        <v>384</v>
      </c>
      <c r="C125" s="1" t="s">
        <v>512</v>
      </c>
      <c r="D125" s="1">
        <v>58</v>
      </c>
      <c r="E125" s="1">
        <v>87</v>
      </c>
      <c r="F125" s="1">
        <v>49</v>
      </c>
      <c r="G125" s="1">
        <v>28</v>
      </c>
      <c r="H125" s="1">
        <v>62</v>
      </c>
      <c r="I125" s="1">
        <v>284</v>
      </c>
      <c r="J125" s="1">
        <v>500</v>
      </c>
      <c r="K125" s="3">
        <f t="shared" si="2"/>
        <v>0.56799999999999995</v>
      </c>
      <c r="L125" s="3">
        <f t="shared" si="3"/>
        <v>0.43200000000000005</v>
      </c>
    </row>
    <row r="126" spans="1:12" x14ac:dyDescent="0.3">
      <c r="A126" s="1" t="s">
        <v>135</v>
      </c>
      <c r="B126" s="1" t="s">
        <v>385</v>
      </c>
      <c r="C126" s="1" t="s">
        <v>512</v>
      </c>
      <c r="D126" s="1">
        <v>95</v>
      </c>
      <c r="E126" s="1">
        <v>28</v>
      </c>
      <c r="F126" s="1">
        <v>27</v>
      </c>
      <c r="G126" s="1">
        <v>27</v>
      </c>
      <c r="H126" s="1">
        <v>23</v>
      </c>
      <c r="I126" s="1">
        <v>200</v>
      </c>
      <c r="J126" s="1">
        <v>500</v>
      </c>
      <c r="K126" s="3">
        <f t="shared" si="2"/>
        <v>0.4</v>
      </c>
      <c r="L126" s="3">
        <f t="shared" si="3"/>
        <v>0.6</v>
      </c>
    </row>
    <row r="127" spans="1:12" x14ac:dyDescent="0.3">
      <c r="A127" s="1" t="s">
        <v>136</v>
      </c>
      <c r="B127" s="1" t="s">
        <v>386</v>
      </c>
      <c r="C127" s="1" t="s">
        <v>513</v>
      </c>
      <c r="D127" s="1">
        <v>40</v>
      </c>
      <c r="E127" s="1">
        <v>96</v>
      </c>
      <c r="F127" s="1">
        <v>46</v>
      </c>
      <c r="G127" s="1">
        <v>70</v>
      </c>
      <c r="H127" s="1">
        <v>18</v>
      </c>
      <c r="I127" s="1">
        <v>270</v>
      </c>
      <c r="J127" s="1">
        <v>500</v>
      </c>
      <c r="K127" s="3">
        <f t="shared" si="2"/>
        <v>0.54</v>
      </c>
      <c r="L127" s="3">
        <f t="shared" si="3"/>
        <v>0.45999999999999996</v>
      </c>
    </row>
    <row r="128" spans="1:12" x14ac:dyDescent="0.3">
      <c r="A128" s="1" t="s">
        <v>137</v>
      </c>
      <c r="B128" s="1" t="s">
        <v>387</v>
      </c>
      <c r="C128" s="1" t="s">
        <v>515</v>
      </c>
      <c r="D128" s="1">
        <v>77</v>
      </c>
      <c r="E128" s="1">
        <v>18</v>
      </c>
      <c r="F128" s="1">
        <v>21</v>
      </c>
      <c r="G128" s="1">
        <v>20</v>
      </c>
      <c r="H128" s="1">
        <v>97</v>
      </c>
      <c r="I128" s="1">
        <v>233</v>
      </c>
      <c r="J128" s="1">
        <v>500</v>
      </c>
      <c r="K128" s="3">
        <f t="shared" si="2"/>
        <v>0.46600000000000003</v>
      </c>
      <c r="L128" s="3">
        <f t="shared" si="3"/>
        <v>0.53400000000000003</v>
      </c>
    </row>
    <row r="129" spans="1:12" x14ac:dyDescent="0.3">
      <c r="A129" s="1" t="s">
        <v>138</v>
      </c>
      <c r="B129" s="1" t="s">
        <v>388</v>
      </c>
      <c r="C129" s="1" t="s">
        <v>516</v>
      </c>
      <c r="D129" s="1">
        <v>81</v>
      </c>
      <c r="E129" s="1">
        <v>20</v>
      </c>
      <c r="F129" s="1">
        <v>39</v>
      </c>
      <c r="G129" s="1">
        <v>75</v>
      </c>
      <c r="H129" s="1">
        <v>40</v>
      </c>
      <c r="I129" s="1">
        <v>255</v>
      </c>
      <c r="J129" s="1">
        <v>500</v>
      </c>
      <c r="K129" s="3">
        <f t="shared" si="2"/>
        <v>0.51</v>
      </c>
      <c r="L129" s="3">
        <f t="shared" si="3"/>
        <v>0.49</v>
      </c>
    </row>
    <row r="130" spans="1:12" x14ac:dyDescent="0.3">
      <c r="A130" s="1" t="s">
        <v>139</v>
      </c>
      <c r="B130" s="1" t="s">
        <v>389</v>
      </c>
      <c r="C130" s="1" t="s">
        <v>514</v>
      </c>
      <c r="D130" s="1">
        <v>46</v>
      </c>
      <c r="E130" s="1">
        <v>93</v>
      </c>
      <c r="F130" s="1">
        <v>87</v>
      </c>
      <c r="G130" s="1">
        <v>14</v>
      </c>
      <c r="H130" s="1">
        <v>99</v>
      </c>
      <c r="I130" s="1">
        <v>339</v>
      </c>
      <c r="J130" s="1">
        <v>500</v>
      </c>
      <c r="K130" s="3">
        <f t="shared" si="2"/>
        <v>0.67800000000000005</v>
      </c>
      <c r="L130" s="3">
        <f t="shared" si="3"/>
        <v>0.32199999999999995</v>
      </c>
    </row>
    <row r="131" spans="1:12" x14ac:dyDescent="0.3">
      <c r="A131" s="1" t="s">
        <v>140</v>
      </c>
      <c r="B131" s="1" t="s">
        <v>390</v>
      </c>
      <c r="C131" s="1" t="s">
        <v>512</v>
      </c>
      <c r="D131" s="1">
        <v>60</v>
      </c>
      <c r="E131" s="1">
        <v>88</v>
      </c>
      <c r="F131" s="1">
        <v>24</v>
      </c>
      <c r="G131" s="1">
        <v>26</v>
      </c>
      <c r="H131" s="1">
        <v>56</v>
      </c>
      <c r="I131" s="1">
        <v>254</v>
      </c>
      <c r="J131" s="1">
        <v>500</v>
      </c>
      <c r="K131" s="3">
        <f t="shared" ref="K131:K194" si="4">I131/J131</f>
        <v>0.50800000000000001</v>
      </c>
      <c r="L131" s="3">
        <f t="shared" ref="L131:L194" si="5">1-K131</f>
        <v>0.49199999999999999</v>
      </c>
    </row>
    <row r="132" spans="1:12" x14ac:dyDescent="0.3">
      <c r="A132" s="1" t="s">
        <v>141</v>
      </c>
      <c r="B132" s="1" t="s">
        <v>391</v>
      </c>
      <c r="C132" s="1" t="s">
        <v>514</v>
      </c>
      <c r="D132" s="1">
        <v>49</v>
      </c>
      <c r="E132" s="1">
        <v>78</v>
      </c>
      <c r="F132" s="1">
        <v>72</v>
      </c>
      <c r="G132" s="1">
        <v>80</v>
      </c>
      <c r="H132" s="1">
        <v>75</v>
      </c>
      <c r="I132" s="1">
        <v>354</v>
      </c>
      <c r="J132" s="1">
        <v>500</v>
      </c>
      <c r="K132" s="3">
        <f t="shared" si="4"/>
        <v>0.70799999999999996</v>
      </c>
      <c r="L132" s="3">
        <f t="shared" si="5"/>
        <v>0.29200000000000004</v>
      </c>
    </row>
    <row r="133" spans="1:12" x14ac:dyDescent="0.3">
      <c r="A133" s="1" t="s">
        <v>142</v>
      </c>
      <c r="B133" s="1" t="s">
        <v>392</v>
      </c>
      <c r="C133" s="1" t="s">
        <v>513</v>
      </c>
      <c r="D133" s="1">
        <v>27</v>
      </c>
      <c r="E133" s="1">
        <v>68</v>
      </c>
      <c r="F133" s="1">
        <v>36</v>
      </c>
      <c r="G133" s="1">
        <v>86</v>
      </c>
      <c r="H133" s="1">
        <v>50</v>
      </c>
      <c r="I133" s="1">
        <v>267</v>
      </c>
      <c r="J133" s="1">
        <v>500</v>
      </c>
      <c r="K133" s="3">
        <f t="shared" si="4"/>
        <v>0.53400000000000003</v>
      </c>
      <c r="L133" s="3">
        <f t="shared" si="5"/>
        <v>0.46599999999999997</v>
      </c>
    </row>
    <row r="134" spans="1:12" x14ac:dyDescent="0.3">
      <c r="A134" s="1" t="s">
        <v>143</v>
      </c>
      <c r="B134" s="1" t="s">
        <v>393</v>
      </c>
      <c r="C134" s="1" t="s">
        <v>516</v>
      </c>
      <c r="D134" s="1">
        <v>26</v>
      </c>
      <c r="E134" s="1">
        <v>88</v>
      </c>
      <c r="F134" s="1">
        <v>13</v>
      </c>
      <c r="G134" s="1">
        <v>69</v>
      </c>
      <c r="H134" s="1">
        <v>60</v>
      </c>
      <c r="I134" s="1">
        <v>256</v>
      </c>
      <c r="J134" s="1">
        <v>500</v>
      </c>
      <c r="K134" s="3">
        <f t="shared" si="4"/>
        <v>0.51200000000000001</v>
      </c>
      <c r="L134" s="3">
        <f t="shared" si="5"/>
        <v>0.48799999999999999</v>
      </c>
    </row>
    <row r="135" spans="1:12" x14ac:dyDescent="0.3">
      <c r="A135" s="1" t="s">
        <v>144</v>
      </c>
      <c r="B135" s="1" t="s">
        <v>394</v>
      </c>
      <c r="C135" s="1" t="s">
        <v>515</v>
      </c>
      <c r="D135" s="1">
        <v>39</v>
      </c>
      <c r="E135" s="1">
        <v>19</v>
      </c>
      <c r="F135" s="1">
        <v>14</v>
      </c>
      <c r="G135" s="1">
        <v>13</v>
      </c>
      <c r="H135" s="1">
        <v>52</v>
      </c>
      <c r="I135" s="1">
        <v>137</v>
      </c>
      <c r="J135" s="1">
        <v>500</v>
      </c>
      <c r="K135" s="3">
        <f t="shared" si="4"/>
        <v>0.27400000000000002</v>
      </c>
      <c r="L135" s="3">
        <f t="shared" si="5"/>
        <v>0.72599999999999998</v>
      </c>
    </row>
    <row r="136" spans="1:12" x14ac:dyDescent="0.3">
      <c r="A136" s="1" t="s">
        <v>145</v>
      </c>
      <c r="B136" s="1" t="s">
        <v>395</v>
      </c>
      <c r="C136" s="1" t="s">
        <v>511</v>
      </c>
      <c r="D136" s="1">
        <v>63</v>
      </c>
      <c r="E136" s="1">
        <v>40</v>
      </c>
      <c r="F136" s="1">
        <v>51</v>
      </c>
      <c r="G136" s="1">
        <v>55</v>
      </c>
      <c r="H136" s="1">
        <v>66</v>
      </c>
      <c r="I136" s="1">
        <v>275</v>
      </c>
      <c r="J136" s="1">
        <v>500</v>
      </c>
      <c r="K136" s="3">
        <f t="shared" si="4"/>
        <v>0.55000000000000004</v>
      </c>
      <c r="L136" s="3">
        <f t="shared" si="5"/>
        <v>0.44999999999999996</v>
      </c>
    </row>
    <row r="137" spans="1:12" x14ac:dyDescent="0.3">
      <c r="A137" s="1" t="s">
        <v>146</v>
      </c>
      <c r="B137" s="1" t="s">
        <v>396</v>
      </c>
      <c r="C137" s="1" t="s">
        <v>516</v>
      </c>
      <c r="D137" s="1">
        <v>82</v>
      </c>
      <c r="E137" s="1">
        <v>77</v>
      </c>
      <c r="F137" s="1">
        <v>94</v>
      </c>
      <c r="G137" s="1">
        <v>82</v>
      </c>
      <c r="H137" s="1">
        <v>95</v>
      </c>
      <c r="I137" s="1">
        <v>430</v>
      </c>
      <c r="J137" s="1">
        <v>500</v>
      </c>
      <c r="K137" s="3">
        <f t="shared" si="4"/>
        <v>0.86</v>
      </c>
      <c r="L137" s="3">
        <f t="shared" si="5"/>
        <v>0.14000000000000001</v>
      </c>
    </row>
    <row r="138" spans="1:12" x14ac:dyDescent="0.3">
      <c r="A138" s="1" t="s">
        <v>147</v>
      </c>
      <c r="B138" s="1" t="s">
        <v>397</v>
      </c>
      <c r="C138" s="1" t="s">
        <v>512</v>
      </c>
      <c r="D138" s="1">
        <v>40</v>
      </c>
      <c r="E138" s="1">
        <v>62</v>
      </c>
      <c r="F138" s="1">
        <v>76</v>
      </c>
      <c r="G138" s="1">
        <v>40</v>
      </c>
      <c r="H138" s="1">
        <v>84</v>
      </c>
      <c r="I138" s="1">
        <v>302</v>
      </c>
      <c r="J138" s="1">
        <v>500</v>
      </c>
      <c r="K138" s="3">
        <f t="shared" si="4"/>
        <v>0.60399999999999998</v>
      </c>
      <c r="L138" s="3">
        <f t="shared" si="5"/>
        <v>0.39600000000000002</v>
      </c>
    </row>
    <row r="139" spans="1:12" x14ac:dyDescent="0.3">
      <c r="A139" s="1" t="s">
        <v>148</v>
      </c>
      <c r="B139" s="1" t="s">
        <v>398</v>
      </c>
      <c r="C139" s="1" t="s">
        <v>515</v>
      </c>
      <c r="D139" s="1">
        <v>57</v>
      </c>
      <c r="E139" s="1">
        <v>96</v>
      </c>
      <c r="F139" s="1">
        <v>22</v>
      </c>
      <c r="G139" s="1">
        <v>85</v>
      </c>
      <c r="H139" s="1">
        <v>60</v>
      </c>
      <c r="I139" s="1">
        <v>320</v>
      </c>
      <c r="J139" s="1">
        <v>500</v>
      </c>
      <c r="K139" s="3">
        <f t="shared" si="4"/>
        <v>0.64</v>
      </c>
      <c r="L139" s="3">
        <f t="shared" si="5"/>
        <v>0.36</v>
      </c>
    </row>
    <row r="140" spans="1:12" x14ac:dyDescent="0.3">
      <c r="A140" s="1" t="s">
        <v>149</v>
      </c>
      <c r="B140" s="1" t="s">
        <v>399</v>
      </c>
      <c r="C140" s="1" t="s">
        <v>512</v>
      </c>
      <c r="D140" s="1">
        <v>19</v>
      </c>
      <c r="E140" s="1">
        <v>12</v>
      </c>
      <c r="F140" s="1">
        <v>81</v>
      </c>
      <c r="G140" s="1">
        <v>27</v>
      </c>
      <c r="H140" s="1">
        <v>38</v>
      </c>
      <c r="I140" s="1">
        <v>177</v>
      </c>
      <c r="J140" s="1">
        <v>500</v>
      </c>
      <c r="K140" s="3">
        <f t="shared" si="4"/>
        <v>0.35399999999999998</v>
      </c>
      <c r="L140" s="3">
        <f t="shared" si="5"/>
        <v>0.64600000000000002</v>
      </c>
    </row>
    <row r="141" spans="1:12" x14ac:dyDescent="0.3">
      <c r="A141" s="1" t="s">
        <v>150</v>
      </c>
      <c r="B141" s="1" t="s">
        <v>400</v>
      </c>
      <c r="C141" s="1" t="s">
        <v>513</v>
      </c>
      <c r="D141" s="1">
        <v>14</v>
      </c>
      <c r="E141" s="1">
        <v>46</v>
      </c>
      <c r="F141" s="1">
        <v>100</v>
      </c>
      <c r="G141" s="1">
        <v>14</v>
      </c>
      <c r="H141" s="1">
        <v>36</v>
      </c>
      <c r="I141" s="1">
        <v>210</v>
      </c>
      <c r="J141" s="1">
        <v>500</v>
      </c>
      <c r="K141" s="3">
        <f t="shared" si="4"/>
        <v>0.42</v>
      </c>
      <c r="L141" s="3">
        <f t="shared" si="5"/>
        <v>0.58000000000000007</v>
      </c>
    </row>
    <row r="142" spans="1:12" x14ac:dyDescent="0.3">
      <c r="A142" s="1" t="s">
        <v>151</v>
      </c>
      <c r="B142" s="1" t="s">
        <v>401</v>
      </c>
      <c r="C142" s="1" t="s">
        <v>512</v>
      </c>
      <c r="D142" s="1">
        <v>53</v>
      </c>
      <c r="E142" s="1">
        <v>73</v>
      </c>
      <c r="F142" s="1">
        <v>12</v>
      </c>
      <c r="G142" s="1">
        <v>23</v>
      </c>
      <c r="H142" s="1">
        <v>40</v>
      </c>
      <c r="I142" s="1">
        <v>201</v>
      </c>
      <c r="J142" s="1">
        <v>500</v>
      </c>
      <c r="K142" s="3">
        <f t="shared" si="4"/>
        <v>0.40200000000000002</v>
      </c>
      <c r="L142" s="3">
        <f t="shared" si="5"/>
        <v>0.59799999999999998</v>
      </c>
    </row>
    <row r="143" spans="1:12" x14ac:dyDescent="0.3">
      <c r="A143" s="1" t="s">
        <v>152</v>
      </c>
      <c r="B143" s="1" t="s">
        <v>402</v>
      </c>
      <c r="C143" s="1" t="s">
        <v>512</v>
      </c>
      <c r="D143" s="1">
        <v>85</v>
      </c>
      <c r="E143" s="1">
        <v>98</v>
      </c>
      <c r="F143" s="1">
        <v>49</v>
      </c>
      <c r="G143" s="1">
        <v>50</v>
      </c>
      <c r="H143" s="1">
        <v>75</v>
      </c>
      <c r="I143" s="1">
        <v>357</v>
      </c>
      <c r="J143" s="1">
        <v>500</v>
      </c>
      <c r="K143" s="3">
        <f t="shared" si="4"/>
        <v>0.71399999999999997</v>
      </c>
      <c r="L143" s="3">
        <f t="shared" si="5"/>
        <v>0.28600000000000003</v>
      </c>
    </row>
    <row r="144" spans="1:12" x14ac:dyDescent="0.3">
      <c r="A144" s="1" t="s">
        <v>153</v>
      </c>
      <c r="B144" s="1" t="s">
        <v>403</v>
      </c>
      <c r="C144" s="1" t="s">
        <v>514</v>
      </c>
      <c r="D144" s="1">
        <v>98</v>
      </c>
      <c r="E144" s="1">
        <v>16</v>
      </c>
      <c r="F144" s="1">
        <v>30</v>
      </c>
      <c r="G144" s="1">
        <v>28</v>
      </c>
      <c r="H144" s="1">
        <v>40</v>
      </c>
      <c r="I144" s="1">
        <v>212</v>
      </c>
      <c r="J144" s="1">
        <v>500</v>
      </c>
      <c r="K144" s="3">
        <f t="shared" si="4"/>
        <v>0.42399999999999999</v>
      </c>
      <c r="L144" s="3">
        <f t="shared" si="5"/>
        <v>0.57600000000000007</v>
      </c>
    </row>
    <row r="145" spans="1:12" x14ac:dyDescent="0.3">
      <c r="A145" s="1" t="s">
        <v>154</v>
      </c>
      <c r="B145" s="1" t="s">
        <v>404</v>
      </c>
      <c r="C145" s="1" t="s">
        <v>514</v>
      </c>
      <c r="D145" s="1">
        <v>42</v>
      </c>
      <c r="E145" s="1">
        <v>24</v>
      </c>
      <c r="F145" s="1">
        <v>52</v>
      </c>
      <c r="G145" s="1">
        <v>53</v>
      </c>
      <c r="H145" s="1">
        <v>55</v>
      </c>
      <c r="I145" s="1">
        <v>226</v>
      </c>
      <c r="J145" s="1">
        <v>500</v>
      </c>
      <c r="K145" s="3">
        <f t="shared" si="4"/>
        <v>0.45200000000000001</v>
      </c>
      <c r="L145" s="3">
        <f t="shared" si="5"/>
        <v>0.54800000000000004</v>
      </c>
    </row>
    <row r="146" spans="1:12" x14ac:dyDescent="0.3">
      <c r="A146" s="1" t="s">
        <v>155</v>
      </c>
      <c r="B146" s="1" t="s">
        <v>405</v>
      </c>
      <c r="C146" s="1" t="s">
        <v>512</v>
      </c>
      <c r="D146" s="1">
        <v>63</v>
      </c>
      <c r="E146" s="1">
        <v>87</v>
      </c>
      <c r="F146" s="1">
        <v>30</v>
      </c>
      <c r="G146" s="1">
        <v>27</v>
      </c>
      <c r="H146" s="1">
        <v>78</v>
      </c>
      <c r="I146" s="1">
        <v>285</v>
      </c>
      <c r="J146" s="1">
        <v>500</v>
      </c>
      <c r="K146" s="3">
        <f t="shared" si="4"/>
        <v>0.56999999999999995</v>
      </c>
      <c r="L146" s="3">
        <f t="shared" si="5"/>
        <v>0.43000000000000005</v>
      </c>
    </row>
    <row r="147" spans="1:12" x14ac:dyDescent="0.3">
      <c r="A147" s="1" t="s">
        <v>156</v>
      </c>
      <c r="B147" s="1" t="s">
        <v>406</v>
      </c>
      <c r="C147" s="1" t="s">
        <v>512</v>
      </c>
      <c r="D147" s="1">
        <v>22</v>
      </c>
      <c r="E147" s="1">
        <v>94</v>
      </c>
      <c r="F147" s="1">
        <v>30</v>
      </c>
      <c r="G147" s="1">
        <v>29</v>
      </c>
      <c r="H147" s="1">
        <v>90</v>
      </c>
      <c r="I147" s="1">
        <v>265</v>
      </c>
      <c r="J147" s="1">
        <v>500</v>
      </c>
      <c r="K147" s="3">
        <f t="shared" si="4"/>
        <v>0.53</v>
      </c>
      <c r="L147" s="3">
        <f t="shared" si="5"/>
        <v>0.47</v>
      </c>
    </row>
    <row r="148" spans="1:12" x14ac:dyDescent="0.3">
      <c r="A148" s="1" t="s">
        <v>157</v>
      </c>
      <c r="B148" s="1" t="s">
        <v>407</v>
      </c>
      <c r="C148" s="1" t="s">
        <v>512</v>
      </c>
      <c r="D148" s="1">
        <v>24</v>
      </c>
      <c r="E148" s="1">
        <v>40</v>
      </c>
      <c r="F148" s="1">
        <v>59</v>
      </c>
      <c r="G148" s="1">
        <v>18</v>
      </c>
      <c r="H148" s="1">
        <v>94</v>
      </c>
      <c r="I148" s="1">
        <v>235</v>
      </c>
      <c r="J148" s="1">
        <v>500</v>
      </c>
      <c r="K148" s="3">
        <f t="shared" si="4"/>
        <v>0.47</v>
      </c>
      <c r="L148" s="3">
        <f t="shared" si="5"/>
        <v>0.53</v>
      </c>
    </row>
    <row r="149" spans="1:12" x14ac:dyDescent="0.3">
      <c r="A149" s="1" t="s">
        <v>158</v>
      </c>
      <c r="B149" s="1" t="s">
        <v>408</v>
      </c>
      <c r="C149" s="1" t="s">
        <v>515</v>
      </c>
      <c r="D149" s="1">
        <v>67</v>
      </c>
      <c r="E149" s="1">
        <v>95</v>
      </c>
      <c r="F149" s="1">
        <v>76</v>
      </c>
      <c r="G149" s="1">
        <v>19</v>
      </c>
      <c r="H149" s="1">
        <v>26</v>
      </c>
      <c r="I149" s="1">
        <v>283</v>
      </c>
      <c r="J149" s="1">
        <v>500</v>
      </c>
      <c r="K149" s="3">
        <f t="shared" si="4"/>
        <v>0.56599999999999995</v>
      </c>
      <c r="L149" s="3">
        <f t="shared" si="5"/>
        <v>0.43400000000000005</v>
      </c>
    </row>
    <row r="150" spans="1:12" x14ac:dyDescent="0.3">
      <c r="A150" s="1" t="s">
        <v>159</v>
      </c>
      <c r="B150" s="1" t="s">
        <v>409</v>
      </c>
      <c r="C150" s="1" t="s">
        <v>516</v>
      </c>
      <c r="D150" s="1">
        <v>98</v>
      </c>
      <c r="E150" s="1">
        <v>19</v>
      </c>
      <c r="F150" s="1">
        <v>53</v>
      </c>
      <c r="G150" s="1">
        <v>92</v>
      </c>
      <c r="H150" s="1">
        <v>87</v>
      </c>
      <c r="I150" s="1">
        <v>349</v>
      </c>
      <c r="J150" s="1">
        <v>500</v>
      </c>
      <c r="K150" s="3">
        <f t="shared" si="4"/>
        <v>0.69799999999999995</v>
      </c>
      <c r="L150" s="3">
        <f t="shared" si="5"/>
        <v>0.30200000000000005</v>
      </c>
    </row>
    <row r="151" spans="1:12" x14ac:dyDescent="0.3">
      <c r="A151" s="1" t="s">
        <v>160</v>
      </c>
      <c r="B151" s="1" t="s">
        <v>410</v>
      </c>
      <c r="C151" s="1" t="s">
        <v>514</v>
      </c>
      <c r="D151" s="1">
        <v>54</v>
      </c>
      <c r="E151" s="1">
        <v>37</v>
      </c>
      <c r="F151" s="1">
        <v>23</v>
      </c>
      <c r="G151" s="1">
        <v>99</v>
      </c>
      <c r="H151" s="1">
        <v>80</v>
      </c>
      <c r="I151" s="1">
        <v>293</v>
      </c>
      <c r="J151" s="1">
        <v>500</v>
      </c>
      <c r="K151" s="3">
        <f t="shared" si="4"/>
        <v>0.58599999999999997</v>
      </c>
      <c r="L151" s="3">
        <f t="shared" si="5"/>
        <v>0.41400000000000003</v>
      </c>
    </row>
    <row r="152" spans="1:12" x14ac:dyDescent="0.3">
      <c r="A152" s="1" t="s">
        <v>161</v>
      </c>
      <c r="B152" s="1" t="s">
        <v>411</v>
      </c>
      <c r="C152" s="1" t="s">
        <v>515</v>
      </c>
      <c r="D152" s="1">
        <v>85</v>
      </c>
      <c r="E152" s="1">
        <v>24</v>
      </c>
      <c r="F152" s="1">
        <v>56</v>
      </c>
      <c r="G152" s="1">
        <v>39</v>
      </c>
      <c r="H152" s="1">
        <v>28</v>
      </c>
      <c r="I152" s="1">
        <v>232</v>
      </c>
      <c r="J152" s="1">
        <v>500</v>
      </c>
      <c r="K152" s="3">
        <f t="shared" si="4"/>
        <v>0.46400000000000002</v>
      </c>
      <c r="L152" s="3">
        <f t="shared" si="5"/>
        <v>0.53600000000000003</v>
      </c>
    </row>
    <row r="153" spans="1:12" x14ac:dyDescent="0.3">
      <c r="A153" s="1" t="s">
        <v>162</v>
      </c>
      <c r="B153" s="1" t="s">
        <v>412</v>
      </c>
      <c r="C153" s="1" t="s">
        <v>516</v>
      </c>
      <c r="D153" s="1">
        <v>74</v>
      </c>
      <c r="E153" s="1">
        <v>23</v>
      </c>
      <c r="F153" s="1">
        <v>56</v>
      </c>
      <c r="G153" s="1">
        <v>95</v>
      </c>
      <c r="H153" s="1">
        <v>21</v>
      </c>
      <c r="I153" s="1">
        <v>269</v>
      </c>
      <c r="J153" s="1">
        <v>500</v>
      </c>
      <c r="K153" s="3">
        <f t="shared" si="4"/>
        <v>0.53800000000000003</v>
      </c>
      <c r="L153" s="3">
        <f t="shared" si="5"/>
        <v>0.46199999999999997</v>
      </c>
    </row>
    <row r="154" spans="1:12" x14ac:dyDescent="0.3">
      <c r="A154" s="1" t="s">
        <v>163</v>
      </c>
      <c r="B154" s="1" t="s">
        <v>413</v>
      </c>
      <c r="C154" s="1" t="s">
        <v>511</v>
      </c>
      <c r="D154" s="1">
        <v>26</v>
      </c>
      <c r="E154" s="1">
        <v>42</v>
      </c>
      <c r="F154" s="1">
        <v>89</v>
      </c>
      <c r="G154" s="1">
        <v>36</v>
      </c>
      <c r="H154" s="1">
        <v>69</v>
      </c>
      <c r="I154" s="1">
        <v>262</v>
      </c>
      <c r="J154" s="1">
        <v>500</v>
      </c>
      <c r="K154" s="3">
        <f t="shared" si="4"/>
        <v>0.52400000000000002</v>
      </c>
      <c r="L154" s="3">
        <f t="shared" si="5"/>
        <v>0.47599999999999998</v>
      </c>
    </row>
    <row r="155" spans="1:12" x14ac:dyDescent="0.3">
      <c r="A155" s="1" t="s">
        <v>164</v>
      </c>
      <c r="B155" s="1" t="s">
        <v>414</v>
      </c>
      <c r="C155" s="1" t="s">
        <v>514</v>
      </c>
      <c r="D155" s="1">
        <v>75</v>
      </c>
      <c r="E155" s="1">
        <v>22</v>
      </c>
      <c r="F155" s="1">
        <v>68</v>
      </c>
      <c r="G155" s="1">
        <v>51</v>
      </c>
      <c r="H155" s="1">
        <v>19</v>
      </c>
      <c r="I155" s="1">
        <v>235</v>
      </c>
      <c r="J155" s="1">
        <v>500</v>
      </c>
      <c r="K155" s="3">
        <f t="shared" si="4"/>
        <v>0.47</v>
      </c>
      <c r="L155" s="3">
        <f t="shared" si="5"/>
        <v>0.53</v>
      </c>
    </row>
    <row r="156" spans="1:12" x14ac:dyDescent="0.3">
      <c r="A156" s="1" t="s">
        <v>165</v>
      </c>
      <c r="B156" s="1" t="s">
        <v>415</v>
      </c>
      <c r="C156" s="1" t="s">
        <v>514</v>
      </c>
      <c r="D156" s="1">
        <v>26</v>
      </c>
      <c r="E156" s="1">
        <v>63</v>
      </c>
      <c r="F156" s="1">
        <v>96</v>
      </c>
      <c r="G156" s="1">
        <v>76</v>
      </c>
      <c r="H156" s="1">
        <v>11</v>
      </c>
      <c r="I156" s="1">
        <v>272</v>
      </c>
      <c r="J156" s="1">
        <v>500</v>
      </c>
      <c r="K156" s="3">
        <f t="shared" si="4"/>
        <v>0.54400000000000004</v>
      </c>
      <c r="L156" s="3">
        <f t="shared" si="5"/>
        <v>0.45599999999999996</v>
      </c>
    </row>
    <row r="157" spans="1:12" x14ac:dyDescent="0.3">
      <c r="A157" s="1" t="s">
        <v>166</v>
      </c>
      <c r="B157" s="1" t="s">
        <v>416</v>
      </c>
      <c r="C157" s="1" t="s">
        <v>512</v>
      </c>
      <c r="D157" s="1">
        <v>70</v>
      </c>
      <c r="E157" s="1">
        <v>89</v>
      </c>
      <c r="F157" s="1">
        <v>52</v>
      </c>
      <c r="G157" s="1">
        <v>63</v>
      </c>
      <c r="H157" s="1">
        <v>72</v>
      </c>
      <c r="I157" s="1">
        <v>346</v>
      </c>
      <c r="J157" s="1">
        <v>500</v>
      </c>
      <c r="K157" s="3">
        <f t="shared" si="4"/>
        <v>0.69199999999999995</v>
      </c>
      <c r="L157" s="3">
        <f t="shared" si="5"/>
        <v>0.30800000000000005</v>
      </c>
    </row>
    <row r="158" spans="1:12" x14ac:dyDescent="0.3">
      <c r="A158" s="1" t="s">
        <v>167</v>
      </c>
      <c r="B158" s="1" t="s">
        <v>417</v>
      </c>
      <c r="C158" s="1" t="s">
        <v>513</v>
      </c>
      <c r="D158" s="1">
        <v>97</v>
      </c>
      <c r="E158" s="1">
        <v>87</v>
      </c>
      <c r="F158" s="1">
        <v>25</v>
      </c>
      <c r="G158" s="1">
        <v>40</v>
      </c>
      <c r="H158" s="1">
        <v>99</v>
      </c>
      <c r="I158" s="1">
        <v>348</v>
      </c>
      <c r="J158" s="1">
        <v>500</v>
      </c>
      <c r="K158" s="3">
        <f t="shared" si="4"/>
        <v>0.69599999999999995</v>
      </c>
      <c r="L158" s="3">
        <f t="shared" si="5"/>
        <v>0.30400000000000005</v>
      </c>
    </row>
    <row r="159" spans="1:12" x14ac:dyDescent="0.3">
      <c r="A159" s="1" t="s">
        <v>168</v>
      </c>
      <c r="B159" s="1" t="s">
        <v>418</v>
      </c>
      <c r="C159" s="1" t="s">
        <v>512</v>
      </c>
      <c r="D159" s="1">
        <v>94</v>
      </c>
      <c r="E159" s="1">
        <v>48</v>
      </c>
      <c r="F159" s="1">
        <v>98</v>
      </c>
      <c r="G159" s="1">
        <v>62</v>
      </c>
      <c r="H159" s="1">
        <v>83</v>
      </c>
      <c r="I159" s="1">
        <v>385</v>
      </c>
      <c r="J159" s="1">
        <v>500</v>
      </c>
      <c r="K159" s="3">
        <f t="shared" si="4"/>
        <v>0.77</v>
      </c>
      <c r="L159" s="3">
        <f t="shared" si="5"/>
        <v>0.22999999999999998</v>
      </c>
    </row>
    <row r="160" spans="1:12" x14ac:dyDescent="0.3">
      <c r="A160" s="1" t="s">
        <v>169</v>
      </c>
      <c r="B160" s="1" t="s">
        <v>419</v>
      </c>
      <c r="C160" s="1" t="s">
        <v>514</v>
      </c>
      <c r="D160" s="1">
        <v>30</v>
      </c>
      <c r="E160" s="1">
        <v>78</v>
      </c>
      <c r="F160" s="1">
        <v>87</v>
      </c>
      <c r="G160" s="1">
        <v>12</v>
      </c>
      <c r="H160" s="1">
        <v>100</v>
      </c>
      <c r="I160" s="1">
        <v>307</v>
      </c>
      <c r="J160" s="1">
        <v>500</v>
      </c>
      <c r="K160" s="3">
        <f t="shared" si="4"/>
        <v>0.61399999999999999</v>
      </c>
      <c r="L160" s="3">
        <f t="shared" si="5"/>
        <v>0.38600000000000001</v>
      </c>
    </row>
    <row r="161" spans="1:12" x14ac:dyDescent="0.3">
      <c r="A161" s="1" t="s">
        <v>170</v>
      </c>
      <c r="B161" s="1" t="s">
        <v>420</v>
      </c>
      <c r="C161" s="1" t="s">
        <v>514</v>
      </c>
      <c r="D161" s="1">
        <v>51</v>
      </c>
      <c r="E161" s="1">
        <v>36</v>
      </c>
      <c r="F161" s="1">
        <v>92</v>
      </c>
      <c r="G161" s="1">
        <v>18</v>
      </c>
      <c r="H161" s="1">
        <v>82</v>
      </c>
      <c r="I161" s="1">
        <v>279</v>
      </c>
      <c r="J161" s="1">
        <v>500</v>
      </c>
      <c r="K161" s="3">
        <f t="shared" si="4"/>
        <v>0.55800000000000005</v>
      </c>
      <c r="L161" s="3">
        <f t="shared" si="5"/>
        <v>0.44199999999999995</v>
      </c>
    </row>
    <row r="162" spans="1:12" x14ac:dyDescent="0.3">
      <c r="A162" s="1" t="s">
        <v>171</v>
      </c>
      <c r="B162" s="1" t="s">
        <v>421</v>
      </c>
      <c r="C162" s="1" t="s">
        <v>511</v>
      </c>
      <c r="D162" s="1">
        <v>44</v>
      </c>
      <c r="E162" s="1">
        <v>11</v>
      </c>
      <c r="F162" s="1">
        <v>58</v>
      </c>
      <c r="G162" s="1">
        <v>50</v>
      </c>
      <c r="H162" s="1">
        <v>26</v>
      </c>
      <c r="I162" s="1">
        <v>189</v>
      </c>
      <c r="J162" s="1">
        <v>500</v>
      </c>
      <c r="K162" s="3">
        <f t="shared" si="4"/>
        <v>0.378</v>
      </c>
      <c r="L162" s="3">
        <f t="shared" si="5"/>
        <v>0.622</v>
      </c>
    </row>
    <row r="163" spans="1:12" x14ac:dyDescent="0.3">
      <c r="A163" s="1" t="s">
        <v>172</v>
      </c>
      <c r="B163" s="1" t="s">
        <v>422</v>
      </c>
      <c r="C163" s="1" t="s">
        <v>513</v>
      </c>
      <c r="D163" s="1">
        <v>27</v>
      </c>
      <c r="E163" s="1">
        <v>44</v>
      </c>
      <c r="F163" s="1">
        <v>14</v>
      </c>
      <c r="G163" s="1">
        <v>97</v>
      </c>
      <c r="H163" s="1">
        <v>67</v>
      </c>
      <c r="I163" s="1">
        <v>249</v>
      </c>
      <c r="J163" s="1">
        <v>500</v>
      </c>
      <c r="K163" s="3">
        <f t="shared" si="4"/>
        <v>0.498</v>
      </c>
      <c r="L163" s="3">
        <f t="shared" si="5"/>
        <v>0.502</v>
      </c>
    </row>
    <row r="164" spans="1:12" x14ac:dyDescent="0.3">
      <c r="A164" s="1" t="s">
        <v>173</v>
      </c>
      <c r="B164" s="1" t="s">
        <v>423</v>
      </c>
      <c r="C164" s="1" t="s">
        <v>513</v>
      </c>
      <c r="D164" s="1">
        <v>29</v>
      </c>
      <c r="E164" s="1">
        <v>99</v>
      </c>
      <c r="F164" s="1">
        <v>42</v>
      </c>
      <c r="G164" s="1">
        <v>94</v>
      </c>
      <c r="H164" s="1">
        <v>50</v>
      </c>
      <c r="I164" s="1">
        <v>314</v>
      </c>
      <c r="J164" s="1">
        <v>500</v>
      </c>
      <c r="K164" s="3">
        <f t="shared" si="4"/>
        <v>0.628</v>
      </c>
      <c r="L164" s="3">
        <f t="shared" si="5"/>
        <v>0.372</v>
      </c>
    </row>
    <row r="165" spans="1:12" x14ac:dyDescent="0.3">
      <c r="A165" s="1" t="s">
        <v>174</v>
      </c>
      <c r="B165" s="1" t="s">
        <v>424</v>
      </c>
      <c r="C165" s="1" t="s">
        <v>514</v>
      </c>
      <c r="D165" s="1">
        <v>99</v>
      </c>
      <c r="E165" s="1">
        <v>29</v>
      </c>
      <c r="F165" s="1">
        <v>87</v>
      </c>
      <c r="G165" s="1">
        <v>81</v>
      </c>
      <c r="H165" s="1">
        <v>76</v>
      </c>
      <c r="I165" s="1">
        <v>372</v>
      </c>
      <c r="J165" s="1">
        <v>500</v>
      </c>
      <c r="K165" s="3">
        <f t="shared" si="4"/>
        <v>0.74399999999999999</v>
      </c>
      <c r="L165" s="3">
        <f t="shared" si="5"/>
        <v>0.25600000000000001</v>
      </c>
    </row>
    <row r="166" spans="1:12" x14ac:dyDescent="0.3">
      <c r="A166" s="1" t="s">
        <v>175</v>
      </c>
      <c r="B166" s="1" t="s">
        <v>425</v>
      </c>
      <c r="C166" s="1" t="s">
        <v>516</v>
      </c>
      <c r="D166" s="1">
        <v>65</v>
      </c>
      <c r="E166" s="1">
        <v>76</v>
      </c>
      <c r="F166" s="1">
        <v>98</v>
      </c>
      <c r="G166" s="1">
        <v>81</v>
      </c>
      <c r="H166" s="1">
        <v>76</v>
      </c>
      <c r="I166" s="1">
        <v>396</v>
      </c>
      <c r="J166" s="1">
        <v>500</v>
      </c>
      <c r="K166" s="3">
        <f t="shared" si="4"/>
        <v>0.79200000000000004</v>
      </c>
      <c r="L166" s="3">
        <f t="shared" si="5"/>
        <v>0.20799999999999996</v>
      </c>
    </row>
    <row r="167" spans="1:12" x14ac:dyDescent="0.3">
      <c r="A167" s="1" t="s">
        <v>176</v>
      </c>
      <c r="B167" s="1" t="s">
        <v>426</v>
      </c>
      <c r="C167" s="1" t="s">
        <v>515</v>
      </c>
      <c r="D167" s="1">
        <v>42</v>
      </c>
      <c r="E167" s="1">
        <v>96</v>
      </c>
      <c r="F167" s="1">
        <v>50</v>
      </c>
      <c r="G167" s="1">
        <v>35</v>
      </c>
      <c r="H167" s="1">
        <v>64</v>
      </c>
      <c r="I167" s="1">
        <v>287</v>
      </c>
      <c r="J167" s="1">
        <v>500</v>
      </c>
      <c r="K167" s="3">
        <f t="shared" si="4"/>
        <v>0.57399999999999995</v>
      </c>
      <c r="L167" s="3">
        <f t="shared" si="5"/>
        <v>0.42600000000000005</v>
      </c>
    </row>
    <row r="168" spans="1:12" x14ac:dyDescent="0.3">
      <c r="A168" s="1" t="s">
        <v>177</v>
      </c>
      <c r="B168" s="1" t="s">
        <v>427</v>
      </c>
      <c r="C168" s="1" t="s">
        <v>512</v>
      </c>
      <c r="D168" s="1">
        <v>48</v>
      </c>
      <c r="E168" s="1">
        <v>15</v>
      </c>
      <c r="F168" s="1">
        <v>53</v>
      </c>
      <c r="G168" s="1">
        <v>12</v>
      </c>
      <c r="H168" s="1">
        <v>31</v>
      </c>
      <c r="I168" s="1">
        <v>159</v>
      </c>
      <c r="J168" s="1">
        <v>500</v>
      </c>
      <c r="K168" s="3">
        <f t="shared" si="4"/>
        <v>0.318</v>
      </c>
      <c r="L168" s="3">
        <f t="shared" si="5"/>
        <v>0.68199999999999994</v>
      </c>
    </row>
    <row r="169" spans="1:12" x14ac:dyDescent="0.3">
      <c r="A169" s="1" t="s">
        <v>178</v>
      </c>
      <c r="B169" s="1" t="s">
        <v>428</v>
      </c>
      <c r="C169" s="1" t="s">
        <v>513</v>
      </c>
      <c r="D169" s="1">
        <v>99</v>
      </c>
      <c r="E169" s="1">
        <v>51</v>
      </c>
      <c r="F169" s="1">
        <v>83</v>
      </c>
      <c r="G169" s="1">
        <v>77</v>
      </c>
      <c r="H169" s="1">
        <v>76</v>
      </c>
      <c r="I169" s="1">
        <v>386</v>
      </c>
      <c r="J169" s="1">
        <v>500</v>
      </c>
      <c r="K169" s="3">
        <f t="shared" si="4"/>
        <v>0.77200000000000002</v>
      </c>
      <c r="L169" s="3">
        <f t="shared" si="5"/>
        <v>0.22799999999999998</v>
      </c>
    </row>
    <row r="170" spans="1:12" x14ac:dyDescent="0.3">
      <c r="A170" s="1" t="s">
        <v>179</v>
      </c>
      <c r="B170" s="1" t="s">
        <v>429</v>
      </c>
      <c r="C170" s="1" t="s">
        <v>512</v>
      </c>
      <c r="D170" s="1">
        <v>86</v>
      </c>
      <c r="E170" s="1">
        <v>89</v>
      </c>
      <c r="F170" s="1">
        <v>35</v>
      </c>
      <c r="G170" s="1">
        <v>99</v>
      </c>
      <c r="H170" s="1">
        <v>73</v>
      </c>
      <c r="I170" s="1">
        <v>382</v>
      </c>
      <c r="J170" s="1">
        <v>500</v>
      </c>
      <c r="K170" s="3">
        <f t="shared" si="4"/>
        <v>0.76400000000000001</v>
      </c>
      <c r="L170" s="3">
        <f t="shared" si="5"/>
        <v>0.23599999999999999</v>
      </c>
    </row>
    <row r="171" spans="1:12" x14ac:dyDescent="0.3">
      <c r="A171" s="1" t="s">
        <v>180</v>
      </c>
      <c r="B171" s="1" t="s">
        <v>430</v>
      </c>
      <c r="C171" s="1" t="s">
        <v>511</v>
      </c>
      <c r="D171" s="1">
        <v>50</v>
      </c>
      <c r="E171" s="1">
        <v>17</v>
      </c>
      <c r="F171" s="1">
        <v>11</v>
      </c>
      <c r="G171" s="1">
        <v>19</v>
      </c>
      <c r="H171" s="1">
        <v>77</v>
      </c>
      <c r="I171" s="1">
        <v>174</v>
      </c>
      <c r="J171" s="1">
        <v>500</v>
      </c>
      <c r="K171" s="3">
        <f t="shared" si="4"/>
        <v>0.34799999999999998</v>
      </c>
      <c r="L171" s="3">
        <f t="shared" si="5"/>
        <v>0.65200000000000002</v>
      </c>
    </row>
    <row r="172" spans="1:12" x14ac:dyDescent="0.3">
      <c r="A172" s="1" t="s">
        <v>181</v>
      </c>
      <c r="B172" s="1" t="s">
        <v>431</v>
      </c>
      <c r="C172" s="1" t="s">
        <v>514</v>
      </c>
      <c r="D172" s="1">
        <v>85</v>
      </c>
      <c r="E172" s="1">
        <v>10</v>
      </c>
      <c r="F172" s="1">
        <v>45</v>
      </c>
      <c r="G172" s="1">
        <v>15</v>
      </c>
      <c r="H172" s="1">
        <v>11</v>
      </c>
      <c r="I172" s="1">
        <v>166</v>
      </c>
      <c r="J172" s="1">
        <v>500</v>
      </c>
      <c r="K172" s="3">
        <f t="shared" si="4"/>
        <v>0.33200000000000002</v>
      </c>
      <c r="L172" s="3">
        <f t="shared" si="5"/>
        <v>0.66799999999999993</v>
      </c>
    </row>
    <row r="173" spans="1:12" x14ac:dyDescent="0.3">
      <c r="A173" s="1" t="s">
        <v>182</v>
      </c>
      <c r="B173" s="1" t="s">
        <v>432</v>
      </c>
      <c r="C173" s="1" t="s">
        <v>514</v>
      </c>
      <c r="D173" s="1">
        <v>25</v>
      </c>
      <c r="E173" s="1">
        <v>88</v>
      </c>
      <c r="F173" s="1">
        <v>28</v>
      </c>
      <c r="G173" s="1">
        <v>89</v>
      </c>
      <c r="H173" s="1">
        <v>88</v>
      </c>
      <c r="I173" s="1">
        <v>318</v>
      </c>
      <c r="J173" s="1">
        <v>500</v>
      </c>
      <c r="K173" s="3">
        <f t="shared" si="4"/>
        <v>0.63600000000000001</v>
      </c>
      <c r="L173" s="3">
        <f t="shared" si="5"/>
        <v>0.36399999999999999</v>
      </c>
    </row>
    <row r="174" spans="1:12" x14ac:dyDescent="0.3">
      <c r="A174" s="1" t="s">
        <v>183</v>
      </c>
      <c r="B174" s="1" t="s">
        <v>433</v>
      </c>
      <c r="C174" s="1" t="s">
        <v>514</v>
      </c>
      <c r="D174" s="1">
        <v>26</v>
      </c>
      <c r="E174" s="1">
        <v>40</v>
      </c>
      <c r="F174" s="1">
        <v>60</v>
      </c>
      <c r="G174" s="1">
        <v>74</v>
      </c>
      <c r="H174" s="1">
        <v>88</v>
      </c>
      <c r="I174" s="1">
        <v>288</v>
      </c>
      <c r="J174" s="1">
        <v>500</v>
      </c>
      <c r="K174" s="3">
        <f t="shared" si="4"/>
        <v>0.57599999999999996</v>
      </c>
      <c r="L174" s="3">
        <f t="shared" si="5"/>
        <v>0.42400000000000004</v>
      </c>
    </row>
    <row r="175" spans="1:12" x14ac:dyDescent="0.3">
      <c r="A175" s="1" t="s">
        <v>184</v>
      </c>
      <c r="B175" s="1" t="s">
        <v>434</v>
      </c>
      <c r="C175" s="1" t="s">
        <v>514</v>
      </c>
      <c r="D175" s="1">
        <v>19</v>
      </c>
      <c r="E175" s="1">
        <v>61</v>
      </c>
      <c r="F175" s="1">
        <v>71</v>
      </c>
      <c r="G175" s="1">
        <v>96</v>
      </c>
      <c r="H175" s="1">
        <v>93</v>
      </c>
      <c r="I175" s="1">
        <v>340</v>
      </c>
      <c r="J175" s="1">
        <v>500</v>
      </c>
      <c r="K175" s="3">
        <f t="shared" si="4"/>
        <v>0.68</v>
      </c>
      <c r="L175" s="3">
        <f t="shared" si="5"/>
        <v>0.31999999999999995</v>
      </c>
    </row>
    <row r="176" spans="1:12" x14ac:dyDescent="0.3">
      <c r="A176" s="1" t="s">
        <v>185</v>
      </c>
      <c r="B176" s="1" t="s">
        <v>435</v>
      </c>
      <c r="C176" s="1" t="s">
        <v>515</v>
      </c>
      <c r="D176" s="1">
        <v>29</v>
      </c>
      <c r="E176" s="1">
        <v>22</v>
      </c>
      <c r="F176" s="1">
        <v>46</v>
      </c>
      <c r="G176" s="1">
        <v>18</v>
      </c>
      <c r="H176" s="1">
        <v>16</v>
      </c>
      <c r="I176" s="1">
        <v>131</v>
      </c>
      <c r="J176" s="1">
        <v>500</v>
      </c>
      <c r="K176" s="3">
        <f t="shared" si="4"/>
        <v>0.26200000000000001</v>
      </c>
      <c r="L176" s="3">
        <f t="shared" si="5"/>
        <v>0.73799999999999999</v>
      </c>
    </row>
    <row r="177" spans="1:12" x14ac:dyDescent="0.3">
      <c r="A177" s="1" t="s">
        <v>186</v>
      </c>
      <c r="B177" s="1" t="s">
        <v>436</v>
      </c>
      <c r="C177" s="1" t="s">
        <v>513</v>
      </c>
      <c r="D177" s="1">
        <v>47</v>
      </c>
      <c r="E177" s="1">
        <v>96</v>
      </c>
      <c r="F177" s="1">
        <v>61</v>
      </c>
      <c r="G177" s="1">
        <v>90</v>
      </c>
      <c r="H177" s="1">
        <v>48</v>
      </c>
      <c r="I177" s="1">
        <v>342</v>
      </c>
      <c r="J177" s="1">
        <v>500</v>
      </c>
      <c r="K177" s="3">
        <f t="shared" si="4"/>
        <v>0.68400000000000005</v>
      </c>
      <c r="L177" s="3">
        <f t="shared" si="5"/>
        <v>0.31599999999999995</v>
      </c>
    </row>
    <row r="178" spans="1:12" x14ac:dyDescent="0.3">
      <c r="A178" s="1" t="s">
        <v>187</v>
      </c>
      <c r="B178" s="1" t="s">
        <v>437</v>
      </c>
      <c r="C178" s="1" t="s">
        <v>511</v>
      </c>
      <c r="D178" s="1">
        <v>23</v>
      </c>
      <c r="E178" s="1">
        <v>20</v>
      </c>
      <c r="F178" s="1">
        <v>72</v>
      </c>
      <c r="G178" s="1">
        <v>57</v>
      </c>
      <c r="H178" s="1">
        <v>12</v>
      </c>
      <c r="I178" s="1">
        <v>184</v>
      </c>
      <c r="J178" s="1">
        <v>500</v>
      </c>
      <c r="K178" s="3">
        <f t="shared" si="4"/>
        <v>0.36799999999999999</v>
      </c>
      <c r="L178" s="3">
        <f t="shared" si="5"/>
        <v>0.63200000000000001</v>
      </c>
    </row>
    <row r="179" spans="1:12" x14ac:dyDescent="0.3">
      <c r="A179" s="1" t="s">
        <v>188</v>
      </c>
      <c r="B179" s="1" t="s">
        <v>438</v>
      </c>
      <c r="C179" s="1" t="s">
        <v>515</v>
      </c>
      <c r="D179" s="1">
        <v>100</v>
      </c>
      <c r="E179" s="1">
        <v>14</v>
      </c>
      <c r="F179" s="1">
        <v>19</v>
      </c>
      <c r="G179" s="1">
        <v>99</v>
      </c>
      <c r="H179" s="1">
        <v>13</v>
      </c>
      <c r="I179" s="1">
        <v>245</v>
      </c>
      <c r="J179" s="1">
        <v>500</v>
      </c>
      <c r="K179" s="3">
        <f t="shared" si="4"/>
        <v>0.49</v>
      </c>
      <c r="L179" s="3">
        <f t="shared" si="5"/>
        <v>0.51</v>
      </c>
    </row>
    <row r="180" spans="1:12" x14ac:dyDescent="0.3">
      <c r="A180" s="1" t="s">
        <v>189</v>
      </c>
      <c r="B180" s="1" t="s">
        <v>439</v>
      </c>
      <c r="C180" s="1" t="s">
        <v>515</v>
      </c>
      <c r="D180" s="1">
        <v>59</v>
      </c>
      <c r="E180" s="1">
        <v>27</v>
      </c>
      <c r="F180" s="1">
        <v>69</v>
      </c>
      <c r="G180" s="1">
        <v>76</v>
      </c>
      <c r="H180" s="1">
        <v>96</v>
      </c>
      <c r="I180" s="1">
        <v>327</v>
      </c>
      <c r="J180" s="1">
        <v>500</v>
      </c>
      <c r="K180" s="3">
        <f t="shared" si="4"/>
        <v>0.65400000000000003</v>
      </c>
      <c r="L180" s="3">
        <f t="shared" si="5"/>
        <v>0.34599999999999997</v>
      </c>
    </row>
    <row r="181" spans="1:12" x14ac:dyDescent="0.3">
      <c r="A181" s="1" t="s">
        <v>190</v>
      </c>
      <c r="B181" s="1" t="s">
        <v>440</v>
      </c>
      <c r="C181" s="1" t="s">
        <v>513</v>
      </c>
      <c r="D181" s="1">
        <v>69</v>
      </c>
      <c r="E181" s="1">
        <v>91</v>
      </c>
      <c r="F181" s="1">
        <v>45</v>
      </c>
      <c r="G181" s="1">
        <v>85</v>
      </c>
      <c r="H181" s="1">
        <v>52</v>
      </c>
      <c r="I181" s="1">
        <v>342</v>
      </c>
      <c r="J181" s="1">
        <v>500</v>
      </c>
      <c r="K181" s="3">
        <f t="shared" si="4"/>
        <v>0.68400000000000005</v>
      </c>
      <c r="L181" s="3">
        <f t="shared" si="5"/>
        <v>0.31599999999999995</v>
      </c>
    </row>
    <row r="182" spans="1:12" x14ac:dyDescent="0.3">
      <c r="A182" s="1" t="s">
        <v>191</v>
      </c>
      <c r="B182" s="1" t="s">
        <v>441</v>
      </c>
      <c r="C182" s="1" t="s">
        <v>513</v>
      </c>
      <c r="D182" s="1">
        <v>88</v>
      </c>
      <c r="E182" s="1">
        <v>21</v>
      </c>
      <c r="F182" s="1">
        <v>71</v>
      </c>
      <c r="G182" s="1">
        <v>19</v>
      </c>
      <c r="H182" s="1">
        <v>82</v>
      </c>
      <c r="I182" s="1">
        <v>281</v>
      </c>
      <c r="J182" s="1">
        <v>500</v>
      </c>
      <c r="K182" s="3">
        <f t="shared" si="4"/>
        <v>0.56200000000000006</v>
      </c>
      <c r="L182" s="3">
        <f t="shared" si="5"/>
        <v>0.43799999999999994</v>
      </c>
    </row>
    <row r="183" spans="1:12" x14ac:dyDescent="0.3">
      <c r="A183" s="1" t="s">
        <v>192</v>
      </c>
      <c r="B183" s="1" t="s">
        <v>442</v>
      </c>
      <c r="C183" s="1" t="s">
        <v>516</v>
      </c>
      <c r="D183" s="1">
        <v>27</v>
      </c>
      <c r="E183" s="1">
        <v>33</v>
      </c>
      <c r="F183" s="1">
        <v>71</v>
      </c>
      <c r="G183" s="1">
        <v>24</v>
      </c>
      <c r="H183" s="1">
        <v>82</v>
      </c>
      <c r="I183" s="1">
        <v>237</v>
      </c>
      <c r="J183" s="1">
        <v>500</v>
      </c>
      <c r="K183" s="3">
        <f t="shared" si="4"/>
        <v>0.47399999999999998</v>
      </c>
      <c r="L183" s="3">
        <f t="shared" si="5"/>
        <v>0.52600000000000002</v>
      </c>
    </row>
    <row r="184" spans="1:12" x14ac:dyDescent="0.3">
      <c r="A184" s="1" t="s">
        <v>193</v>
      </c>
      <c r="B184" s="1" t="s">
        <v>443</v>
      </c>
      <c r="C184" s="1" t="s">
        <v>512</v>
      </c>
      <c r="D184" s="1">
        <v>26</v>
      </c>
      <c r="E184" s="1">
        <v>70</v>
      </c>
      <c r="F184" s="1">
        <v>23</v>
      </c>
      <c r="G184" s="1">
        <v>71</v>
      </c>
      <c r="H184" s="1">
        <v>15</v>
      </c>
      <c r="I184" s="1">
        <v>205</v>
      </c>
      <c r="J184" s="1">
        <v>500</v>
      </c>
      <c r="K184" s="3">
        <f t="shared" si="4"/>
        <v>0.41</v>
      </c>
      <c r="L184" s="3">
        <f t="shared" si="5"/>
        <v>0.59000000000000008</v>
      </c>
    </row>
    <row r="185" spans="1:12" x14ac:dyDescent="0.3">
      <c r="A185" s="1" t="s">
        <v>194</v>
      </c>
      <c r="B185" s="1" t="s">
        <v>444</v>
      </c>
      <c r="C185" s="1" t="s">
        <v>511</v>
      </c>
      <c r="D185" s="1">
        <v>86</v>
      </c>
      <c r="E185" s="1">
        <v>97</v>
      </c>
      <c r="F185" s="1">
        <v>29</v>
      </c>
      <c r="G185" s="1">
        <v>53</v>
      </c>
      <c r="H185" s="1">
        <v>16</v>
      </c>
      <c r="I185" s="1">
        <v>281</v>
      </c>
      <c r="J185" s="1">
        <v>500</v>
      </c>
      <c r="K185" s="3">
        <f t="shared" si="4"/>
        <v>0.56200000000000006</v>
      </c>
      <c r="L185" s="3">
        <f t="shared" si="5"/>
        <v>0.43799999999999994</v>
      </c>
    </row>
    <row r="186" spans="1:12" x14ac:dyDescent="0.3">
      <c r="A186" s="1" t="s">
        <v>195</v>
      </c>
      <c r="B186" s="1" t="s">
        <v>445</v>
      </c>
      <c r="C186" s="1" t="s">
        <v>516</v>
      </c>
      <c r="D186" s="1">
        <v>26</v>
      </c>
      <c r="E186" s="1">
        <v>82</v>
      </c>
      <c r="F186" s="1">
        <v>96</v>
      </c>
      <c r="G186" s="1">
        <v>75</v>
      </c>
      <c r="H186" s="1">
        <v>96</v>
      </c>
      <c r="I186" s="1">
        <v>375</v>
      </c>
      <c r="J186" s="1">
        <v>500</v>
      </c>
      <c r="K186" s="3">
        <f t="shared" si="4"/>
        <v>0.75</v>
      </c>
      <c r="L186" s="3">
        <f t="shared" si="5"/>
        <v>0.25</v>
      </c>
    </row>
    <row r="187" spans="1:12" x14ac:dyDescent="0.3">
      <c r="A187" s="1" t="s">
        <v>196</v>
      </c>
      <c r="B187" s="1" t="s">
        <v>446</v>
      </c>
      <c r="C187" s="1" t="s">
        <v>513</v>
      </c>
      <c r="D187" s="1">
        <v>70</v>
      </c>
      <c r="E187" s="1">
        <v>24</v>
      </c>
      <c r="F187" s="1">
        <v>49</v>
      </c>
      <c r="G187" s="1">
        <v>21</v>
      </c>
      <c r="H187" s="1">
        <v>54</v>
      </c>
      <c r="I187" s="1">
        <v>218</v>
      </c>
      <c r="J187" s="1">
        <v>500</v>
      </c>
      <c r="K187" s="3">
        <f t="shared" si="4"/>
        <v>0.436</v>
      </c>
      <c r="L187" s="3">
        <f t="shared" si="5"/>
        <v>0.56400000000000006</v>
      </c>
    </row>
    <row r="188" spans="1:12" x14ac:dyDescent="0.3">
      <c r="A188" s="1" t="s">
        <v>197</v>
      </c>
      <c r="B188" s="1" t="s">
        <v>447</v>
      </c>
      <c r="C188" s="1" t="s">
        <v>512</v>
      </c>
      <c r="D188" s="1">
        <v>33</v>
      </c>
      <c r="E188" s="1">
        <v>50</v>
      </c>
      <c r="F188" s="1">
        <v>45</v>
      </c>
      <c r="G188" s="1">
        <v>82</v>
      </c>
      <c r="H188" s="1">
        <v>49</v>
      </c>
      <c r="I188" s="1">
        <v>259</v>
      </c>
      <c r="J188" s="1">
        <v>500</v>
      </c>
      <c r="K188" s="3">
        <f t="shared" si="4"/>
        <v>0.51800000000000002</v>
      </c>
      <c r="L188" s="3">
        <f t="shared" si="5"/>
        <v>0.48199999999999998</v>
      </c>
    </row>
    <row r="189" spans="1:12" x14ac:dyDescent="0.3">
      <c r="A189" s="1" t="s">
        <v>198</v>
      </c>
      <c r="B189" s="1" t="s">
        <v>448</v>
      </c>
      <c r="C189" s="1" t="s">
        <v>511</v>
      </c>
      <c r="D189" s="1">
        <v>76</v>
      </c>
      <c r="E189" s="1">
        <v>44</v>
      </c>
      <c r="F189" s="1">
        <v>55</v>
      </c>
      <c r="G189" s="1">
        <v>33</v>
      </c>
      <c r="H189" s="1">
        <v>91</v>
      </c>
      <c r="I189" s="1">
        <v>299</v>
      </c>
      <c r="J189" s="1">
        <v>500</v>
      </c>
      <c r="K189" s="3">
        <f t="shared" si="4"/>
        <v>0.59799999999999998</v>
      </c>
      <c r="L189" s="3">
        <f t="shared" si="5"/>
        <v>0.40200000000000002</v>
      </c>
    </row>
    <row r="190" spans="1:12" x14ac:dyDescent="0.3">
      <c r="A190" s="1" t="s">
        <v>199</v>
      </c>
      <c r="B190" s="1" t="s">
        <v>449</v>
      </c>
      <c r="C190" s="1" t="s">
        <v>511</v>
      </c>
      <c r="D190" s="1">
        <v>93</v>
      </c>
      <c r="E190" s="1">
        <v>91</v>
      </c>
      <c r="F190" s="1">
        <v>89</v>
      </c>
      <c r="G190" s="1">
        <v>38</v>
      </c>
      <c r="H190" s="1">
        <v>84</v>
      </c>
      <c r="I190" s="1">
        <v>395</v>
      </c>
      <c r="J190" s="1">
        <v>500</v>
      </c>
      <c r="K190" s="3">
        <f t="shared" si="4"/>
        <v>0.79</v>
      </c>
      <c r="L190" s="3">
        <f t="shared" si="5"/>
        <v>0.20999999999999996</v>
      </c>
    </row>
    <row r="191" spans="1:12" x14ac:dyDescent="0.3">
      <c r="A191" s="1" t="s">
        <v>200</v>
      </c>
      <c r="B191" s="1" t="s">
        <v>450</v>
      </c>
      <c r="C191" s="1" t="s">
        <v>516</v>
      </c>
      <c r="D191" s="1">
        <v>28</v>
      </c>
      <c r="E191" s="1">
        <v>30</v>
      </c>
      <c r="F191" s="1">
        <v>37</v>
      </c>
      <c r="G191" s="1">
        <v>40</v>
      </c>
      <c r="H191" s="1">
        <v>21</v>
      </c>
      <c r="I191" s="1">
        <v>156</v>
      </c>
      <c r="J191" s="1">
        <v>500</v>
      </c>
      <c r="K191" s="3">
        <f t="shared" si="4"/>
        <v>0.312</v>
      </c>
      <c r="L191" s="3">
        <f t="shared" si="5"/>
        <v>0.68799999999999994</v>
      </c>
    </row>
    <row r="192" spans="1:12" x14ac:dyDescent="0.3">
      <c r="A192" s="1" t="s">
        <v>201</v>
      </c>
      <c r="B192" s="1" t="s">
        <v>451</v>
      </c>
      <c r="C192" s="1" t="s">
        <v>515</v>
      </c>
      <c r="D192" s="1">
        <v>75</v>
      </c>
      <c r="E192" s="1">
        <v>51</v>
      </c>
      <c r="F192" s="1">
        <v>89</v>
      </c>
      <c r="G192" s="1">
        <v>18</v>
      </c>
      <c r="H192" s="1">
        <v>57</v>
      </c>
      <c r="I192" s="1">
        <v>290</v>
      </c>
      <c r="J192" s="1">
        <v>500</v>
      </c>
      <c r="K192" s="3">
        <f t="shared" si="4"/>
        <v>0.57999999999999996</v>
      </c>
      <c r="L192" s="3">
        <f t="shared" si="5"/>
        <v>0.42000000000000004</v>
      </c>
    </row>
    <row r="193" spans="1:12" x14ac:dyDescent="0.3">
      <c r="A193" s="1" t="s">
        <v>202</v>
      </c>
      <c r="B193" s="1" t="s">
        <v>452</v>
      </c>
      <c r="C193" s="1" t="s">
        <v>516</v>
      </c>
      <c r="D193" s="1">
        <v>36</v>
      </c>
      <c r="E193" s="1">
        <v>31</v>
      </c>
      <c r="F193" s="1">
        <v>11</v>
      </c>
      <c r="G193" s="1">
        <v>89</v>
      </c>
      <c r="H193" s="1">
        <v>42</v>
      </c>
      <c r="I193" s="1">
        <v>209</v>
      </c>
      <c r="J193" s="1">
        <v>500</v>
      </c>
      <c r="K193" s="3">
        <f t="shared" si="4"/>
        <v>0.41799999999999998</v>
      </c>
      <c r="L193" s="3">
        <f t="shared" si="5"/>
        <v>0.58200000000000007</v>
      </c>
    </row>
    <row r="194" spans="1:12" x14ac:dyDescent="0.3">
      <c r="A194" s="1" t="s">
        <v>203</v>
      </c>
      <c r="B194" s="1" t="s">
        <v>453</v>
      </c>
      <c r="C194" s="1" t="s">
        <v>515</v>
      </c>
      <c r="D194" s="1">
        <v>76</v>
      </c>
      <c r="E194" s="1">
        <v>93</v>
      </c>
      <c r="F194" s="1">
        <v>30</v>
      </c>
      <c r="G194" s="1">
        <v>54</v>
      </c>
      <c r="H194" s="1">
        <v>44</v>
      </c>
      <c r="I194" s="1">
        <v>297</v>
      </c>
      <c r="J194" s="1">
        <v>500</v>
      </c>
      <c r="K194" s="3">
        <f t="shared" si="4"/>
        <v>0.59399999999999997</v>
      </c>
      <c r="L194" s="3">
        <f t="shared" si="5"/>
        <v>0.40600000000000003</v>
      </c>
    </row>
    <row r="195" spans="1:12" x14ac:dyDescent="0.3">
      <c r="A195" s="1" t="s">
        <v>204</v>
      </c>
      <c r="B195" s="1" t="s">
        <v>454</v>
      </c>
      <c r="C195" s="1" t="s">
        <v>513</v>
      </c>
      <c r="D195" s="1">
        <v>78</v>
      </c>
      <c r="E195" s="1">
        <v>45</v>
      </c>
      <c r="F195" s="1">
        <v>69</v>
      </c>
      <c r="G195" s="1">
        <v>11</v>
      </c>
      <c r="H195" s="1">
        <v>73</v>
      </c>
      <c r="I195" s="1">
        <v>276</v>
      </c>
      <c r="J195" s="1">
        <v>500</v>
      </c>
      <c r="K195" s="3">
        <f t="shared" ref="K195:K251" si="6">I195/J195</f>
        <v>0.55200000000000005</v>
      </c>
      <c r="L195" s="3">
        <f t="shared" ref="L195:L251" si="7">1-K195</f>
        <v>0.44799999999999995</v>
      </c>
    </row>
    <row r="196" spans="1:12" x14ac:dyDescent="0.3">
      <c r="A196" s="1" t="s">
        <v>205</v>
      </c>
      <c r="B196" s="1" t="s">
        <v>455</v>
      </c>
      <c r="C196" s="1" t="s">
        <v>515</v>
      </c>
      <c r="D196" s="1">
        <v>54</v>
      </c>
      <c r="E196" s="1">
        <v>24</v>
      </c>
      <c r="F196" s="1">
        <v>76</v>
      </c>
      <c r="G196" s="1">
        <v>94</v>
      </c>
      <c r="H196" s="1">
        <v>50</v>
      </c>
      <c r="I196" s="1">
        <v>298</v>
      </c>
      <c r="J196" s="1">
        <v>500</v>
      </c>
      <c r="K196" s="3">
        <f t="shared" si="6"/>
        <v>0.59599999999999997</v>
      </c>
      <c r="L196" s="3">
        <f t="shared" si="7"/>
        <v>0.40400000000000003</v>
      </c>
    </row>
    <row r="197" spans="1:12" x14ac:dyDescent="0.3">
      <c r="A197" s="1" t="s">
        <v>206</v>
      </c>
      <c r="B197" s="1" t="s">
        <v>456</v>
      </c>
      <c r="C197" s="1" t="s">
        <v>511</v>
      </c>
      <c r="D197" s="1">
        <v>98</v>
      </c>
      <c r="E197" s="1">
        <v>43</v>
      </c>
      <c r="F197" s="1">
        <v>68</v>
      </c>
      <c r="G197" s="1">
        <v>53</v>
      </c>
      <c r="H197" s="1">
        <v>87</v>
      </c>
      <c r="I197" s="1">
        <v>349</v>
      </c>
      <c r="J197" s="1">
        <v>500</v>
      </c>
      <c r="K197" s="3">
        <f t="shared" si="6"/>
        <v>0.69799999999999995</v>
      </c>
      <c r="L197" s="3">
        <f t="shared" si="7"/>
        <v>0.30200000000000005</v>
      </c>
    </row>
    <row r="198" spans="1:12" x14ac:dyDescent="0.3">
      <c r="A198" s="1" t="s">
        <v>207</v>
      </c>
      <c r="B198" s="1" t="s">
        <v>457</v>
      </c>
      <c r="C198" s="1" t="s">
        <v>511</v>
      </c>
      <c r="D198" s="1">
        <v>97</v>
      </c>
      <c r="E198" s="1">
        <v>98</v>
      </c>
      <c r="F198" s="1">
        <v>11</v>
      </c>
      <c r="G198" s="1">
        <v>82</v>
      </c>
      <c r="H198" s="1">
        <v>10</v>
      </c>
      <c r="I198" s="1">
        <v>298</v>
      </c>
      <c r="J198" s="1">
        <v>500</v>
      </c>
      <c r="K198" s="3">
        <f t="shared" si="6"/>
        <v>0.59599999999999997</v>
      </c>
      <c r="L198" s="3">
        <f t="shared" si="7"/>
        <v>0.40400000000000003</v>
      </c>
    </row>
    <row r="199" spans="1:12" x14ac:dyDescent="0.3">
      <c r="A199" s="1" t="s">
        <v>208</v>
      </c>
      <c r="B199" s="1" t="s">
        <v>458</v>
      </c>
      <c r="C199" s="1" t="s">
        <v>513</v>
      </c>
      <c r="D199" s="1">
        <v>66</v>
      </c>
      <c r="E199" s="1">
        <v>67</v>
      </c>
      <c r="F199" s="1">
        <v>51</v>
      </c>
      <c r="G199" s="1">
        <v>42</v>
      </c>
      <c r="H199" s="1">
        <v>94</v>
      </c>
      <c r="I199" s="1">
        <v>320</v>
      </c>
      <c r="J199" s="1">
        <v>500</v>
      </c>
      <c r="K199" s="3">
        <f t="shared" si="6"/>
        <v>0.64</v>
      </c>
      <c r="L199" s="3">
        <f t="shared" si="7"/>
        <v>0.36</v>
      </c>
    </row>
    <row r="200" spans="1:12" x14ac:dyDescent="0.3">
      <c r="A200" s="1" t="s">
        <v>209</v>
      </c>
      <c r="B200" s="1" t="s">
        <v>459</v>
      </c>
      <c r="C200" s="1" t="s">
        <v>512</v>
      </c>
      <c r="D200" s="1">
        <v>30</v>
      </c>
      <c r="E200" s="1">
        <v>75</v>
      </c>
      <c r="F200" s="1">
        <v>25</v>
      </c>
      <c r="G200" s="1">
        <v>36</v>
      </c>
      <c r="H200" s="1">
        <v>86</v>
      </c>
      <c r="I200" s="1">
        <v>252</v>
      </c>
      <c r="J200" s="1">
        <v>500</v>
      </c>
      <c r="K200" s="3">
        <f t="shared" si="6"/>
        <v>0.504</v>
      </c>
      <c r="L200" s="3">
        <f t="shared" si="7"/>
        <v>0.496</v>
      </c>
    </row>
    <row r="201" spans="1:12" x14ac:dyDescent="0.3">
      <c r="A201" s="1" t="s">
        <v>210</v>
      </c>
      <c r="B201" s="1" t="s">
        <v>460</v>
      </c>
      <c r="C201" s="1" t="s">
        <v>516</v>
      </c>
      <c r="D201" s="1">
        <v>15</v>
      </c>
      <c r="E201" s="1">
        <v>10</v>
      </c>
      <c r="F201" s="1">
        <v>29</v>
      </c>
      <c r="G201" s="1">
        <v>32</v>
      </c>
      <c r="H201" s="1">
        <v>20</v>
      </c>
      <c r="I201" s="1">
        <v>106</v>
      </c>
      <c r="J201" s="1">
        <v>500</v>
      </c>
      <c r="K201" s="3">
        <f t="shared" si="6"/>
        <v>0.21199999999999999</v>
      </c>
      <c r="L201" s="3">
        <f t="shared" si="7"/>
        <v>0.78800000000000003</v>
      </c>
    </row>
    <row r="202" spans="1:12" x14ac:dyDescent="0.3">
      <c r="A202" s="1" t="s">
        <v>211</v>
      </c>
      <c r="B202" s="1" t="s">
        <v>461</v>
      </c>
      <c r="C202" s="1" t="s">
        <v>512</v>
      </c>
      <c r="D202" s="1">
        <v>17</v>
      </c>
      <c r="E202" s="1">
        <v>14</v>
      </c>
      <c r="F202" s="1">
        <v>40</v>
      </c>
      <c r="G202" s="1">
        <v>93</v>
      </c>
      <c r="H202" s="1">
        <v>53</v>
      </c>
      <c r="I202" s="1">
        <v>217</v>
      </c>
      <c r="J202" s="1">
        <v>500</v>
      </c>
      <c r="K202" s="3">
        <f t="shared" si="6"/>
        <v>0.434</v>
      </c>
      <c r="L202" s="3">
        <f t="shared" si="7"/>
        <v>0.56600000000000006</v>
      </c>
    </row>
    <row r="203" spans="1:12" x14ac:dyDescent="0.3">
      <c r="A203" s="1" t="s">
        <v>212</v>
      </c>
      <c r="B203" s="1" t="s">
        <v>462</v>
      </c>
      <c r="C203" s="1" t="s">
        <v>514</v>
      </c>
      <c r="D203" s="1">
        <v>33</v>
      </c>
      <c r="E203" s="1">
        <v>16</v>
      </c>
      <c r="F203" s="1">
        <v>78</v>
      </c>
      <c r="G203" s="1">
        <v>20</v>
      </c>
      <c r="H203" s="1">
        <v>18</v>
      </c>
      <c r="I203" s="1">
        <v>165</v>
      </c>
      <c r="J203" s="1">
        <v>500</v>
      </c>
      <c r="K203" s="3">
        <f t="shared" si="6"/>
        <v>0.33</v>
      </c>
      <c r="L203" s="3">
        <f t="shared" si="7"/>
        <v>0.66999999999999993</v>
      </c>
    </row>
    <row r="204" spans="1:12" x14ac:dyDescent="0.3">
      <c r="A204" s="1" t="s">
        <v>213</v>
      </c>
      <c r="B204" s="1" t="s">
        <v>463</v>
      </c>
      <c r="C204" s="1" t="s">
        <v>511</v>
      </c>
      <c r="D204" s="1">
        <v>34</v>
      </c>
      <c r="E204" s="1">
        <v>46</v>
      </c>
      <c r="F204" s="1">
        <v>61</v>
      </c>
      <c r="G204" s="1">
        <v>10</v>
      </c>
      <c r="H204" s="1">
        <v>75</v>
      </c>
      <c r="I204" s="1">
        <v>226</v>
      </c>
      <c r="J204" s="1">
        <v>500</v>
      </c>
      <c r="K204" s="3">
        <f t="shared" si="6"/>
        <v>0.45200000000000001</v>
      </c>
      <c r="L204" s="3">
        <f t="shared" si="7"/>
        <v>0.54800000000000004</v>
      </c>
    </row>
    <row r="205" spans="1:12" x14ac:dyDescent="0.3">
      <c r="A205" s="1" t="s">
        <v>214</v>
      </c>
      <c r="B205" s="1" t="s">
        <v>464</v>
      </c>
      <c r="C205" s="1" t="s">
        <v>516</v>
      </c>
      <c r="D205" s="1">
        <v>91</v>
      </c>
      <c r="E205" s="1">
        <v>20</v>
      </c>
      <c r="F205" s="1">
        <v>27</v>
      </c>
      <c r="G205" s="1">
        <v>34</v>
      </c>
      <c r="H205" s="1">
        <v>49</v>
      </c>
      <c r="I205" s="1">
        <v>221</v>
      </c>
      <c r="J205" s="1">
        <v>500</v>
      </c>
      <c r="K205" s="3">
        <f t="shared" si="6"/>
        <v>0.442</v>
      </c>
      <c r="L205" s="3">
        <f t="shared" si="7"/>
        <v>0.55800000000000005</v>
      </c>
    </row>
    <row r="206" spans="1:12" x14ac:dyDescent="0.3">
      <c r="A206" s="1" t="s">
        <v>215</v>
      </c>
      <c r="B206" s="1" t="s">
        <v>465</v>
      </c>
      <c r="C206" s="1" t="s">
        <v>511</v>
      </c>
      <c r="D206" s="1">
        <v>39</v>
      </c>
      <c r="E206" s="1">
        <v>13</v>
      </c>
      <c r="F206" s="1">
        <v>17</v>
      </c>
      <c r="G206" s="1">
        <v>69</v>
      </c>
      <c r="H206" s="1">
        <v>75</v>
      </c>
      <c r="I206" s="1">
        <v>213</v>
      </c>
      <c r="J206" s="1">
        <v>500</v>
      </c>
      <c r="K206" s="3">
        <f t="shared" si="6"/>
        <v>0.42599999999999999</v>
      </c>
      <c r="L206" s="3">
        <f t="shared" si="7"/>
        <v>0.57400000000000007</v>
      </c>
    </row>
    <row r="207" spans="1:12" x14ac:dyDescent="0.3">
      <c r="A207" s="1" t="s">
        <v>216</v>
      </c>
      <c r="B207" s="1" t="s">
        <v>466</v>
      </c>
      <c r="C207" s="1" t="s">
        <v>514</v>
      </c>
      <c r="D207" s="1">
        <v>77</v>
      </c>
      <c r="E207" s="1">
        <v>80</v>
      </c>
      <c r="F207" s="1">
        <v>18</v>
      </c>
      <c r="G207" s="1">
        <v>53</v>
      </c>
      <c r="H207" s="1">
        <v>11</v>
      </c>
      <c r="I207" s="1">
        <v>239</v>
      </c>
      <c r="J207" s="1">
        <v>500</v>
      </c>
      <c r="K207" s="3">
        <f t="shared" si="6"/>
        <v>0.47799999999999998</v>
      </c>
      <c r="L207" s="3">
        <f t="shared" si="7"/>
        <v>0.52200000000000002</v>
      </c>
    </row>
    <row r="208" spans="1:12" x14ac:dyDescent="0.3">
      <c r="A208" s="1" t="s">
        <v>217</v>
      </c>
      <c r="B208" s="1" t="s">
        <v>467</v>
      </c>
      <c r="C208" s="1" t="s">
        <v>514</v>
      </c>
      <c r="D208" s="1">
        <v>30</v>
      </c>
      <c r="E208" s="1">
        <v>13</v>
      </c>
      <c r="F208" s="1">
        <v>15</v>
      </c>
      <c r="G208" s="1">
        <v>71</v>
      </c>
      <c r="H208" s="1">
        <v>84</v>
      </c>
      <c r="I208" s="1">
        <v>213</v>
      </c>
      <c r="J208" s="1">
        <v>500</v>
      </c>
      <c r="K208" s="3">
        <f t="shared" si="6"/>
        <v>0.42599999999999999</v>
      </c>
      <c r="L208" s="3">
        <f t="shared" si="7"/>
        <v>0.57400000000000007</v>
      </c>
    </row>
    <row r="209" spans="1:12" x14ac:dyDescent="0.3">
      <c r="A209" s="1" t="s">
        <v>218</v>
      </c>
      <c r="B209" s="1" t="s">
        <v>468</v>
      </c>
      <c r="C209" s="1" t="s">
        <v>513</v>
      </c>
      <c r="D209" s="1">
        <v>35</v>
      </c>
      <c r="E209" s="1">
        <v>47</v>
      </c>
      <c r="F209" s="1">
        <v>57</v>
      </c>
      <c r="G209" s="1">
        <v>36</v>
      </c>
      <c r="H209" s="1">
        <v>100</v>
      </c>
      <c r="I209" s="1">
        <v>275</v>
      </c>
      <c r="J209" s="1">
        <v>500</v>
      </c>
      <c r="K209" s="3">
        <f t="shared" si="6"/>
        <v>0.55000000000000004</v>
      </c>
      <c r="L209" s="3">
        <f t="shared" si="7"/>
        <v>0.44999999999999996</v>
      </c>
    </row>
    <row r="210" spans="1:12" x14ac:dyDescent="0.3">
      <c r="A210" s="1" t="s">
        <v>219</v>
      </c>
      <c r="B210" s="1" t="s">
        <v>469</v>
      </c>
      <c r="C210" s="1" t="s">
        <v>514</v>
      </c>
      <c r="D210" s="1">
        <v>81</v>
      </c>
      <c r="E210" s="1">
        <v>97</v>
      </c>
      <c r="F210" s="1">
        <v>35</v>
      </c>
      <c r="G210" s="1">
        <v>70</v>
      </c>
      <c r="H210" s="1">
        <v>43</v>
      </c>
      <c r="I210" s="1">
        <v>326</v>
      </c>
      <c r="J210" s="1">
        <v>500</v>
      </c>
      <c r="K210" s="3">
        <f t="shared" si="6"/>
        <v>0.65200000000000002</v>
      </c>
      <c r="L210" s="3">
        <f t="shared" si="7"/>
        <v>0.34799999999999998</v>
      </c>
    </row>
    <row r="211" spans="1:12" x14ac:dyDescent="0.3">
      <c r="A211" s="1" t="s">
        <v>220</v>
      </c>
      <c r="B211" s="1" t="s">
        <v>470</v>
      </c>
      <c r="C211" s="1" t="s">
        <v>516</v>
      </c>
      <c r="D211" s="1">
        <v>85</v>
      </c>
      <c r="E211" s="1">
        <v>59</v>
      </c>
      <c r="F211" s="1">
        <v>66</v>
      </c>
      <c r="G211" s="1">
        <v>96</v>
      </c>
      <c r="H211" s="1">
        <v>78</v>
      </c>
      <c r="I211" s="1">
        <v>384</v>
      </c>
      <c r="J211" s="1">
        <v>500</v>
      </c>
      <c r="K211" s="3">
        <f t="shared" si="6"/>
        <v>0.76800000000000002</v>
      </c>
      <c r="L211" s="3">
        <f t="shared" si="7"/>
        <v>0.23199999999999998</v>
      </c>
    </row>
    <row r="212" spans="1:12" x14ac:dyDescent="0.3">
      <c r="A212" s="1" t="s">
        <v>221</v>
      </c>
      <c r="B212" s="1" t="s">
        <v>471</v>
      </c>
      <c r="C212" s="1" t="s">
        <v>516</v>
      </c>
      <c r="D212" s="1">
        <v>19</v>
      </c>
      <c r="E212" s="1">
        <v>30</v>
      </c>
      <c r="F212" s="1">
        <v>59</v>
      </c>
      <c r="G212" s="1">
        <v>91</v>
      </c>
      <c r="H212" s="1">
        <v>70</v>
      </c>
      <c r="I212" s="1">
        <v>269</v>
      </c>
      <c r="J212" s="1">
        <v>500</v>
      </c>
      <c r="K212" s="3">
        <f t="shared" si="6"/>
        <v>0.53800000000000003</v>
      </c>
      <c r="L212" s="3">
        <f t="shared" si="7"/>
        <v>0.46199999999999997</v>
      </c>
    </row>
    <row r="213" spans="1:12" x14ac:dyDescent="0.3">
      <c r="A213" s="1" t="s">
        <v>222</v>
      </c>
      <c r="B213" s="1" t="s">
        <v>472</v>
      </c>
      <c r="C213" s="1" t="s">
        <v>511</v>
      </c>
      <c r="D213" s="1">
        <v>29</v>
      </c>
      <c r="E213" s="1">
        <v>74</v>
      </c>
      <c r="F213" s="1">
        <v>27</v>
      </c>
      <c r="G213" s="1">
        <v>94</v>
      </c>
      <c r="H213" s="1">
        <v>14</v>
      </c>
      <c r="I213" s="1">
        <v>238</v>
      </c>
      <c r="J213" s="1">
        <v>500</v>
      </c>
      <c r="K213" s="3">
        <f t="shared" si="6"/>
        <v>0.47599999999999998</v>
      </c>
      <c r="L213" s="3">
        <f t="shared" si="7"/>
        <v>0.52400000000000002</v>
      </c>
    </row>
    <row r="214" spans="1:12" x14ac:dyDescent="0.3">
      <c r="A214" s="1" t="s">
        <v>223</v>
      </c>
      <c r="B214" s="1" t="s">
        <v>473</v>
      </c>
      <c r="C214" s="1" t="s">
        <v>511</v>
      </c>
      <c r="D214" s="1">
        <v>39</v>
      </c>
      <c r="E214" s="1">
        <v>64</v>
      </c>
      <c r="F214" s="1">
        <v>96</v>
      </c>
      <c r="G214" s="1">
        <v>65</v>
      </c>
      <c r="H214" s="1">
        <v>13</v>
      </c>
      <c r="I214" s="1">
        <v>277</v>
      </c>
      <c r="J214" s="1">
        <v>500</v>
      </c>
      <c r="K214" s="3">
        <f t="shared" si="6"/>
        <v>0.55400000000000005</v>
      </c>
      <c r="L214" s="3">
        <f t="shared" si="7"/>
        <v>0.44599999999999995</v>
      </c>
    </row>
    <row r="215" spans="1:12" x14ac:dyDescent="0.3">
      <c r="A215" s="1" t="s">
        <v>224</v>
      </c>
      <c r="B215" s="1" t="s">
        <v>474</v>
      </c>
      <c r="C215" s="1" t="s">
        <v>513</v>
      </c>
      <c r="D215" s="1">
        <v>75</v>
      </c>
      <c r="E215" s="1">
        <v>60</v>
      </c>
      <c r="F215" s="1">
        <v>13</v>
      </c>
      <c r="G215" s="1">
        <v>73</v>
      </c>
      <c r="H215" s="1">
        <v>26</v>
      </c>
      <c r="I215" s="1">
        <v>247</v>
      </c>
      <c r="J215" s="1">
        <v>500</v>
      </c>
      <c r="K215" s="3">
        <f t="shared" si="6"/>
        <v>0.49399999999999999</v>
      </c>
      <c r="L215" s="3">
        <f t="shared" si="7"/>
        <v>0.50600000000000001</v>
      </c>
    </row>
    <row r="216" spans="1:12" x14ac:dyDescent="0.3">
      <c r="A216" s="1" t="s">
        <v>225</v>
      </c>
      <c r="B216" s="1" t="s">
        <v>475</v>
      </c>
      <c r="C216" s="1" t="s">
        <v>512</v>
      </c>
      <c r="D216" s="1">
        <v>94</v>
      </c>
      <c r="E216" s="1">
        <v>20</v>
      </c>
      <c r="F216" s="1">
        <v>73</v>
      </c>
      <c r="G216" s="1">
        <v>16</v>
      </c>
      <c r="H216" s="1">
        <v>53</v>
      </c>
      <c r="I216" s="1">
        <v>256</v>
      </c>
      <c r="J216" s="1">
        <v>500</v>
      </c>
      <c r="K216" s="3">
        <f t="shared" si="6"/>
        <v>0.51200000000000001</v>
      </c>
      <c r="L216" s="3">
        <f t="shared" si="7"/>
        <v>0.48799999999999999</v>
      </c>
    </row>
    <row r="217" spans="1:12" x14ac:dyDescent="0.3">
      <c r="A217" s="1" t="s">
        <v>226</v>
      </c>
      <c r="B217" s="1" t="s">
        <v>476</v>
      </c>
      <c r="C217" s="1" t="s">
        <v>513</v>
      </c>
      <c r="D217" s="1">
        <v>78</v>
      </c>
      <c r="E217" s="1">
        <v>37</v>
      </c>
      <c r="F217" s="1">
        <v>55</v>
      </c>
      <c r="G217" s="1">
        <v>87</v>
      </c>
      <c r="H217" s="1">
        <v>67</v>
      </c>
      <c r="I217" s="1">
        <v>324</v>
      </c>
      <c r="J217" s="1">
        <v>500</v>
      </c>
      <c r="K217" s="3">
        <f t="shared" si="6"/>
        <v>0.64800000000000002</v>
      </c>
      <c r="L217" s="3">
        <f t="shared" si="7"/>
        <v>0.35199999999999998</v>
      </c>
    </row>
    <row r="218" spans="1:12" x14ac:dyDescent="0.3">
      <c r="A218" s="1" t="s">
        <v>227</v>
      </c>
      <c r="B218" s="1" t="s">
        <v>477</v>
      </c>
      <c r="C218" s="1" t="s">
        <v>513</v>
      </c>
      <c r="D218" s="1">
        <v>17</v>
      </c>
      <c r="E218" s="1">
        <v>18</v>
      </c>
      <c r="F218" s="1">
        <v>88</v>
      </c>
      <c r="G218" s="1">
        <v>30</v>
      </c>
      <c r="H218" s="1">
        <v>58</v>
      </c>
      <c r="I218" s="1">
        <v>211</v>
      </c>
      <c r="J218" s="1">
        <v>500</v>
      </c>
      <c r="K218" s="3">
        <f t="shared" si="6"/>
        <v>0.42199999999999999</v>
      </c>
      <c r="L218" s="3">
        <f t="shared" si="7"/>
        <v>0.57800000000000007</v>
      </c>
    </row>
    <row r="219" spans="1:12" x14ac:dyDescent="0.3">
      <c r="A219" s="1" t="s">
        <v>228</v>
      </c>
      <c r="B219" s="1" t="s">
        <v>478</v>
      </c>
      <c r="C219" s="1" t="s">
        <v>515</v>
      </c>
      <c r="D219" s="1">
        <v>56</v>
      </c>
      <c r="E219" s="1">
        <v>90</v>
      </c>
      <c r="F219" s="1">
        <v>47</v>
      </c>
      <c r="G219" s="1">
        <v>54</v>
      </c>
      <c r="H219" s="1">
        <v>28</v>
      </c>
      <c r="I219" s="1">
        <v>275</v>
      </c>
      <c r="J219" s="1">
        <v>500</v>
      </c>
      <c r="K219" s="3">
        <f t="shared" si="6"/>
        <v>0.55000000000000004</v>
      </c>
      <c r="L219" s="3">
        <f t="shared" si="7"/>
        <v>0.44999999999999996</v>
      </c>
    </row>
    <row r="220" spans="1:12" x14ac:dyDescent="0.3">
      <c r="A220" s="1" t="s">
        <v>229</v>
      </c>
      <c r="B220" s="1" t="s">
        <v>479</v>
      </c>
      <c r="C220" s="1" t="s">
        <v>512</v>
      </c>
      <c r="D220" s="1">
        <v>100</v>
      </c>
      <c r="E220" s="1">
        <v>32</v>
      </c>
      <c r="F220" s="1">
        <v>80</v>
      </c>
      <c r="G220" s="1">
        <v>67</v>
      </c>
      <c r="H220" s="1">
        <v>79</v>
      </c>
      <c r="I220" s="1">
        <v>358</v>
      </c>
      <c r="J220" s="1">
        <v>500</v>
      </c>
      <c r="K220" s="3">
        <f t="shared" si="6"/>
        <v>0.71599999999999997</v>
      </c>
      <c r="L220" s="3">
        <f t="shared" si="7"/>
        <v>0.28400000000000003</v>
      </c>
    </row>
    <row r="221" spans="1:12" x14ac:dyDescent="0.3">
      <c r="A221" s="1" t="s">
        <v>230</v>
      </c>
      <c r="B221" s="1" t="s">
        <v>480</v>
      </c>
      <c r="C221" s="1" t="s">
        <v>516</v>
      </c>
      <c r="D221" s="1">
        <v>24</v>
      </c>
      <c r="E221" s="1">
        <v>45</v>
      </c>
      <c r="F221" s="1">
        <v>29</v>
      </c>
      <c r="G221" s="1">
        <v>86</v>
      </c>
      <c r="H221" s="1">
        <v>56</v>
      </c>
      <c r="I221" s="1">
        <v>240</v>
      </c>
      <c r="J221" s="1">
        <v>500</v>
      </c>
      <c r="K221" s="3">
        <f t="shared" si="6"/>
        <v>0.48</v>
      </c>
      <c r="L221" s="3">
        <f t="shared" si="7"/>
        <v>0.52</v>
      </c>
    </row>
    <row r="222" spans="1:12" x14ac:dyDescent="0.3">
      <c r="A222" s="1" t="s">
        <v>231</v>
      </c>
      <c r="B222" s="1" t="s">
        <v>481</v>
      </c>
      <c r="C222" s="1" t="s">
        <v>513</v>
      </c>
      <c r="D222" s="1">
        <v>73</v>
      </c>
      <c r="E222" s="1">
        <v>44</v>
      </c>
      <c r="F222" s="1">
        <v>19</v>
      </c>
      <c r="G222" s="1">
        <v>14</v>
      </c>
      <c r="H222" s="1">
        <v>63</v>
      </c>
      <c r="I222" s="1">
        <v>213</v>
      </c>
      <c r="J222" s="1">
        <v>500</v>
      </c>
      <c r="K222" s="3">
        <f t="shared" si="6"/>
        <v>0.42599999999999999</v>
      </c>
      <c r="L222" s="3">
        <f t="shared" si="7"/>
        <v>0.57400000000000007</v>
      </c>
    </row>
    <row r="223" spans="1:12" x14ac:dyDescent="0.3">
      <c r="A223" s="1" t="s">
        <v>232</v>
      </c>
      <c r="B223" s="1" t="s">
        <v>482</v>
      </c>
      <c r="C223" s="1" t="s">
        <v>515</v>
      </c>
      <c r="D223" s="1">
        <v>78</v>
      </c>
      <c r="E223" s="1">
        <v>95</v>
      </c>
      <c r="F223" s="1">
        <v>17</v>
      </c>
      <c r="G223" s="1">
        <v>51</v>
      </c>
      <c r="H223" s="1">
        <v>38</v>
      </c>
      <c r="I223" s="1">
        <v>279</v>
      </c>
      <c r="J223" s="1">
        <v>500</v>
      </c>
      <c r="K223" s="3">
        <f t="shared" si="6"/>
        <v>0.55800000000000005</v>
      </c>
      <c r="L223" s="3">
        <f t="shared" si="7"/>
        <v>0.44199999999999995</v>
      </c>
    </row>
    <row r="224" spans="1:12" x14ac:dyDescent="0.3">
      <c r="A224" s="1" t="s">
        <v>233</v>
      </c>
      <c r="B224" s="1" t="s">
        <v>483</v>
      </c>
      <c r="C224" s="1" t="s">
        <v>516</v>
      </c>
      <c r="D224" s="1">
        <v>17</v>
      </c>
      <c r="E224" s="1">
        <v>81</v>
      </c>
      <c r="F224" s="1">
        <v>22</v>
      </c>
      <c r="G224" s="1">
        <v>67</v>
      </c>
      <c r="H224" s="1">
        <v>35</v>
      </c>
      <c r="I224" s="1">
        <v>222</v>
      </c>
      <c r="J224" s="1">
        <v>500</v>
      </c>
      <c r="K224" s="3">
        <f t="shared" si="6"/>
        <v>0.44400000000000001</v>
      </c>
      <c r="L224" s="3">
        <f t="shared" si="7"/>
        <v>0.55600000000000005</v>
      </c>
    </row>
    <row r="225" spans="1:12" x14ac:dyDescent="0.3">
      <c r="A225" s="1" t="s">
        <v>234</v>
      </c>
      <c r="B225" s="1" t="s">
        <v>484</v>
      </c>
      <c r="C225" s="1" t="s">
        <v>513</v>
      </c>
      <c r="D225" s="1">
        <v>28</v>
      </c>
      <c r="E225" s="1">
        <v>36</v>
      </c>
      <c r="F225" s="1">
        <v>12</v>
      </c>
      <c r="G225" s="1">
        <v>42</v>
      </c>
      <c r="H225" s="1">
        <v>28</v>
      </c>
      <c r="I225" s="1">
        <v>146</v>
      </c>
      <c r="J225" s="1">
        <v>500</v>
      </c>
      <c r="K225" s="3">
        <f t="shared" si="6"/>
        <v>0.29199999999999998</v>
      </c>
      <c r="L225" s="3">
        <f t="shared" si="7"/>
        <v>0.70799999999999996</v>
      </c>
    </row>
    <row r="226" spans="1:12" x14ac:dyDescent="0.3">
      <c r="A226" s="1" t="s">
        <v>235</v>
      </c>
      <c r="B226" s="1" t="s">
        <v>485</v>
      </c>
      <c r="C226" s="1" t="s">
        <v>511</v>
      </c>
      <c r="D226" s="1">
        <v>96</v>
      </c>
      <c r="E226" s="1">
        <v>58</v>
      </c>
      <c r="F226" s="1">
        <v>61</v>
      </c>
      <c r="G226" s="1">
        <v>18</v>
      </c>
      <c r="H226" s="1">
        <v>24</v>
      </c>
      <c r="I226" s="1">
        <v>257</v>
      </c>
      <c r="J226" s="1">
        <v>500</v>
      </c>
      <c r="K226" s="3">
        <f t="shared" si="6"/>
        <v>0.51400000000000001</v>
      </c>
      <c r="L226" s="3">
        <f t="shared" si="7"/>
        <v>0.48599999999999999</v>
      </c>
    </row>
    <row r="227" spans="1:12" x14ac:dyDescent="0.3">
      <c r="A227" s="1" t="s">
        <v>236</v>
      </c>
      <c r="B227" s="1" t="s">
        <v>486</v>
      </c>
      <c r="C227" s="1" t="s">
        <v>515</v>
      </c>
      <c r="D227" s="1">
        <v>68</v>
      </c>
      <c r="E227" s="1">
        <v>87</v>
      </c>
      <c r="F227" s="1">
        <v>32</v>
      </c>
      <c r="G227" s="1">
        <v>28</v>
      </c>
      <c r="H227" s="1">
        <v>78</v>
      </c>
      <c r="I227" s="1">
        <v>293</v>
      </c>
      <c r="J227" s="1">
        <v>500</v>
      </c>
      <c r="K227" s="3">
        <f t="shared" si="6"/>
        <v>0.58599999999999997</v>
      </c>
      <c r="L227" s="3">
        <f t="shared" si="7"/>
        <v>0.41400000000000003</v>
      </c>
    </row>
    <row r="228" spans="1:12" x14ac:dyDescent="0.3">
      <c r="A228" s="1" t="s">
        <v>237</v>
      </c>
      <c r="B228" s="1" t="s">
        <v>487</v>
      </c>
      <c r="C228" s="1" t="s">
        <v>513</v>
      </c>
      <c r="D228" s="1">
        <v>63</v>
      </c>
      <c r="E228" s="1">
        <v>63</v>
      </c>
      <c r="F228" s="1">
        <v>70</v>
      </c>
      <c r="G228" s="1">
        <v>91</v>
      </c>
      <c r="H228" s="1">
        <v>13</v>
      </c>
      <c r="I228" s="1">
        <v>300</v>
      </c>
      <c r="J228" s="1">
        <v>500</v>
      </c>
      <c r="K228" s="3">
        <f t="shared" si="6"/>
        <v>0.6</v>
      </c>
      <c r="L228" s="3">
        <f t="shared" si="7"/>
        <v>0.4</v>
      </c>
    </row>
    <row r="229" spans="1:12" x14ac:dyDescent="0.3">
      <c r="A229" s="1" t="s">
        <v>238</v>
      </c>
      <c r="B229" s="1" t="s">
        <v>488</v>
      </c>
      <c r="C229" s="1" t="s">
        <v>511</v>
      </c>
      <c r="D229" s="1">
        <v>22</v>
      </c>
      <c r="E229" s="1">
        <v>25</v>
      </c>
      <c r="F229" s="1">
        <v>64</v>
      </c>
      <c r="G229" s="1">
        <v>85</v>
      </c>
      <c r="H229" s="1">
        <v>18</v>
      </c>
      <c r="I229" s="1">
        <v>214</v>
      </c>
      <c r="J229" s="1">
        <v>500</v>
      </c>
      <c r="K229" s="3">
        <f t="shared" si="6"/>
        <v>0.42799999999999999</v>
      </c>
      <c r="L229" s="3">
        <f t="shared" si="7"/>
        <v>0.57200000000000006</v>
      </c>
    </row>
    <row r="230" spans="1:12" x14ac:dyDescent="0.3">
      <c r="A230" s="1" t="s">
        <v>239</v>
      </c>
      <c r="B230" s="1" t="s">
        <v>489</v>
      </c>
      <c r="C230" s="1" t="s">
        <v>514</v>
      </c>
      <c r="D230" s="1">
        <v>53</v>
      </c>
      <c r="E230" s="1">
        <v>31</v>
      </c>
      <c r="F230" s="1">
        <v>26</v>
      </c>
      <c r="G230" s="1">
        <v>44</v>
      </c>
      <c r="H230" s="1">
        <v>78</v>
      </c>
      <c r="I230" s="1">
        <v>232</v>
      </c>
      <c r="J230" s="1">
        <v>500</v>
      </c>
      <c r="K230" s="3">
        <f t="shared" si="6"/>
        <v>0.46400000000000002</v>
      </c>
      <c r="L230" s="3">
        <f t="shared" si="7"/>
        <v>0.53600000000000003</v>
      </c>
    </row>
    <row r="231" spans="1:12" x14ac:dyDescent="0.3">
      <c r="A231" s="1" t="s">
        <v>240</v>
      </c>
      <c r="B231" s="1" t="s">
        <v>490</v>
      </c>
      <c r="C231" s="1" t="s">
        <v>512</v>
      </c>
      <c r="D231" s="1">
        <v>27</v>
      </c>
      <c r="E231" s="1">
        <v>21</v>
      </c>
      <c r="F231" s="1">
        <v>84</v>
      </c>
      <c r="G231" s="1">
        <v>74</v>
      </c>
      <c r="H231" s="1">
        <v>17</v>
      </c>
      <c r="I231" s="1">
        <v>223</v>
      </c>
      <c r="J231" s="1">
        <v>500</v>
      </c>
      <c r="K231" s="3">
        <f t="shared" si="6"/>
        <v>0.44600000000000001</v>
      </c>
      <c r="L231" s="3">
        <f t="shared" si="7"/>
        <v>0.55400000000000005</v>
      </c>
    </row>
    <row r="232" spans="1:12" x14ac:dyDescent="0.3">
      <c r="A232" s="1" t="s">
        <v>241</v>
      </c>
      <c r="B232" s="1" t="s">
        <v>491</v>
      </c>
      <c r="C232" s="1" t="s">
        <v>513</v>
      </c>
      <c r="D232" s="1">
        <v>76</v>
      </c>
      <c r="E232" s="1">
        <v>45</v>
      </c>
      <c r="F232" s="1">
        <v>46</v>
      </c>
      <c r="G232" s="1">
        <v>66</v>
      </c>
      <c r="H232" s="1">
        <v>92</v>
      </c>
      <c r="I232" s="1">
        <v>325</v>
      </c>
      <c r="J232" s="1">
        <v>500</v>
      </c>
      <c r="K232" s="3">
        <f t="shared" si="6"/>
        <v>0.65</v>
      </c>
      <c r="L232" s="3">
        <f t="shared" si="7"/>
        <v>0.35</v>
      </c>
    </row>
    <row r="233" spans="1:12" x14ac:dyDescent="0.3">
      <c r="A233" s="1" t="s">
        <v>242</v>
      </c>
      <c r="B233" s="1" t="s">
        <v>492</v>
      </c>
      <c r="C233" s="1" t="s">
        <v>515</v>
      </c>
      <c r="D233" s="1">
        <v>37</v>
      </c>
      <c r="E233" s="1">
        <v>60</v>
      </c>
      <c r="F233" s="1">
        <v>64</v>
      </c>
      <c r="G233" s="1">
        <v>49</v>
      </c>
      <c r="H233" s="1">
        <v>79</v>
      </c>
      <c r="I233" s="1">
        <v>289</v>
      </c>
      <c r="J233" s="1">
        <v>500</v>
      </c>
      <c r="K233" s="3">
        <f t="shared" si="6"/>
        <v>0.57799999999999996</v>
      </c>
      <c r="L233" s="3">
        <f t="shared" si="7"/>
        <v>0.42200000000000004</v>
      </c>
    </row>
    <row r="234" spans="1:12" x14ac:dyDescent="0.3">
      <c r="A234" s="1" t="s">
        <v>243</v>
      </c>
      <c r="B234" s="1" t="s">
        <v>493</v>
      </c>
      <c r="C234" s="1" t="s">
        <v>513</v>
      </c>
      <c r="D234" s="1">
        <v>23</v>
      </c>
      <c r="E234" s="1">
        <v>93</v>
      </c>
      <c r="F234" s="1">
        <v>97</v>
      </c>
      <c r="G234" s="1">
        <v>46</v>
      </c>
      <c r="H234" s="1">
        <v>37</v>
      </c>
      <c r="I234" s="1">
        <v>296</v>
      </c>
      <c r="J234" s="1">
        <v>500</v>
      </c>
      <c r="K234" s="3">
        <f t="shared" si="6"/>
        <v>0.59199999999999997</v>
      </c>
      <c r="L234" s="3">
        <f t="shared" si="7"/>
        <v>0.40800000000000003</v>
      </c>
    </row>
    <row r="235" spans="1:12" x14ac:dyDescent="0.3">
      <c r="A235" s="1" t="s">
        <v>244</v>
      </c>
      <c r="B235" s="1" t="s">
        <v>494</v>
      </c>
      <c r="C235" s="1" t="s">
        <v>516</v>
      </c>
      <c r="D235" s="1">
        <v>54</v>
      </c>
      <c r="E235" s="1">
        <v>38</v>
      </c>
      <c r="F235" s="1">
        <v>81</v>
      </c>
      <c r="G235" s="1">
        <v>84</v>
      </c>
      <c r="H235" s="1">
        <v>85</v>
      </c>
      <c r="I235" s="1">
        <v>342</v>
      </c>
      <c r="J235" s="1">
        <v>500</v>
      </c>
      <c r="K235" s="3">
        <f t="shared" si="6"/>
        <v>0.68400000000000005</v>
      </c>
      <c r="L235" s="3">
        <f t="shared" si="7"/>
        <v>0.31599999999999995</v>
      </c>
    </row>
    <row r="236" spans="1:12" x14ac:dyDescent="0.3">
      <c r="A236" s="1" t="s">
        <v>245</v>
      </c>
      <c r="B236" s="1" t="s">
        <v>495</v>
      </c>
      <c r="C236" s="1" t="s">
        <v>512</v>
      </c>
      <c r="D236" s="1">
        <v>14</v>
      </c>
      <c r="E236" s="1">
        <v>71</v>
      </c>
      <c r="F236" s="1">
        <v>79</v>
      </c>
      <c r="G236" s="1">
        <v>60</v>
      </c>
      <c r="H236" s="1">
        <v>91</v>
      </c>
      <c r="I236" s="1">
        <v>315</v>
      </c>
      <c r="J236" s="1">
        <v>500</v>
      </c>
      <c r="K236" s="3">
        <f t="shared" si="6"/>
        <v>0.63</v>
      </c>
      <c r="L236" s="3">
        <f t="shared" si="7"/>
        <v>0.37</v>
      </c>
    </row>
    <row r="237" spans="1:12" x14ac:dyDescent="0.3">
      <c r="A237" s="1" t="s">
        <v>246</v>
      </c>
      <c r="B237" s="1" t="s">
        <v>496</v>
      </c>
      <c r="C237" s="1" t="s">
        <v>511</v>
      </c>
      <c r="D237" s="1">
        <v>63</v>
      </c>
      <c r="E237" s="1">
        <v>30</v>
      </c>
      <c r="F237" s="1">
        <v>95</v>
      </c>
      <c r="G237" s="1">
        <v>36</v>
      </c>
      <c r="H237" s="1">
        <v>66</v>
      </c>
      <c r="I237" s="1">
        <v>290</v>
      </c>
      <c r="J237" s="1">
        <v>500</v>
      </c>
      <c r="K237" s="3">
        <f t="shared" si="6"/>
        <v>0.57999999999999996</v>
      </c>
      <c r="L237" s="3">
        <f t="shared" si="7"/>
        <v>0.42000000000000004</v>
      </c>
    </row>
    <row r="238" spans="1:12" x14ac:dyDescent="0.3">
      <c r="A238" s="1" t="s">
        <v>247</v>
      </c>
      <c r="B238" s="1" t="s">
        <v>497</v>
      </c>
      <c r="C238" s="1" t="s">
        <v>514</v>
      </c>
      <c r="D238" s="1">
        <v>15</v>
      </c>
      <c r="E238" s="1">
        <v>53</v>
      </c>
      <c r="F238" s="1">
        <v>71</v>
      </c>
      <c r="G238" s="1">
        <v>96</v>
      </c>
      <c r="H238" s="1">
        <v>93</v>
      </c>
      <c r="I238" s="1">
        <v>328</v>
      </c>
      <c r="J238" s="1">
        <v>500</v>
      </c>
      <c r="K238" s="3">
        <f t="shared" si="6"/>
        <v>0.65600000000000003</v>
      </c>
      <c r="L238" s="3">
        <f t="shared" si="7"/>
        <v>0.34399999999999997</v>
      </c>
    </row>
    <row r="239" spans="1:12" x14ac:dyDescent="0.3">
      <c r="A239" s="1" t="s">
        <v>248</v>
      </c>
      <c r="B239" s="1" t="s">
        <v>498</v>
      </c>
      <c r="C239" s="1" t="s">
        <v>513</v>
      </c>
      <c r="D239" s="1">
        <v>51</v>
      </c>
      <c r="E239" s="1">
        <v>34</v>
      </c>
      <c r="F239" s="1">
        <v>74</v>
      </c>
      <c r="G239" s="1">
        <v>47</v>
      </c>
      <c r="H239" s="1">
        <v>96</v>
      </c>
      <c r="I239" s="1">
        <v>302</v>
      </c>
      <c r="J239" s="1">
        <v>500</v>
      </c>
      <c r="K239" s="3">
        <f t="shared" si="6"/>
        <v>0.60399999999999998</v>
      </c>
      <c r="L239" s="3">
        <f t="shared" si="7"/>
        <v>0.39600000000000002</v>
      </c>
    </row>
    <row r="240" spans="1:12" x14ac:dyDescent="0.3">
      <c r="A240" s="1" t="s">
        <v>249</v>
      </c>
      <c r="B240" s="1" t="s">
        <v>499</v>
      </c>
      <c r="C240" s="1" t="s">
        <v>515</v>
      </c>
      <c r="D240" s="1">
        <v>21</v>
      </c>
      <c r="E240" s="1">
        <v>74</v>
      </c>
      <c r="F240" s="1">
        <v>91</v>
      </c>
      <c r="G240" s="1">
        <v>45</v>
      </c>
      <c r="H240" s="1">
        <v>69</v>
      </c>
      <c r="I240" s="1">
        <v>300</v>
      </c>
      <c r="J240" s="1">
        <v>500</v>
      </c>
      <c r="K240" s="3">
        <f t="shared" si="6"/>
        <v>0.6</v>
      </c>
      <c r="L240" s="3">
        <f t="shared" si="7"/>
        <v>0.4</v>
      </c>
    </row>
    <row r="241" spans="1:12" x14ac:dyDescent="0.3">
      <c r="A241" s="1" t="s">
        <v>250</v>
      </c>
      <c r="B241" s="1" t="s">
        <v>500</v>
      </c>
      <c r="C241" s="1" t="s">
        <v>514</v>
      </c>
      <c r="D241" s="1">
        <v>81</v>
      </c>
      <c r="E241" s="1">
        <v>15</v>
      </c>
      <c r="F241" s="1">
        <v>45</v>
      </c>
      <c r="G241" s="1">
        <v>76</v>
      </c>
      <c r="H241" s="1">
        <v>96</v>
      </c>
      <c r="I241" s="1">
        <v>313</v>
      </c>
      <c r="J241" s="1">
        <v>500</v>
      </c>
      <c r="K241" s="3">
        <f t="shared" si="6"/>
        <v>0.626</v>
      </c>
      <c r="L241" s="3">
        <f t="shared" si="7"/>
        <v>0.374</v>
      </c>
    </row>
    <row r="242" spans="1:12" x14ac:dyDescent="0.3">
      <c r="A242" s="1" t="s">
        <v>251</v>
      </c>
      <c r="B242" s="1" t="s">
        <v>501</v>
      </c>
      <c r="C242" s="1" t="s">
        <v>511</v>
      </c>
      <c r="D242" s="1">
        <v>25</v>
      </c>
      <c r="E242" s="1">
        <v>92</v>
      </c>
      <c r="F242" s="1">
        <v>17</v>
      </c>
      <c r="G242" s="1">
        <v>45</v>
      </c>
      <c r="H242" s="1">
        <v>21</v>
      </c>
      <c r="I242" s="1">
        <v>200</v>
      </c>
      <c r="J242" s="1">
        <v>500</v>
      </c>
      <c r="K242" s="3">
        <f t="shared" si="6"/>
        <v>0.4</v>
      </c>
      <c r="L242" s="3">
        <f t="shared" si="7"/>
        <v>0.6</v>
      </c>
    </row>
    <row r="243" spans="1:12" x14ac:dyDescent="0.3">
      <c r="A243" s="1" t="s">
        <v>252</v>
      </c>
      <c r="B243" s="1" t="s">
        <v>502</v>
      </c>
      <c r="C243" s="1" t="s">
        <v>511</v>
      </c>
      <c r="D243" s="1">
        <v>77</v>
      </c>
      <c r="E243" s="1">
        <v>42</v>
      </c>
      <c r="F243" s="1">
        <v>53</v>
      </c>
      <c r="G243" s="1">
        <v>100</v>
      </c>
      <c r="H243" s="1">
        <v>77</v>
      </c>
      <c r="I243" s="1">
        <v>349</v>
      </c>
      <c r="J243" s="1">
        <v>500</v>
      </c>
      <c r="K243" s="3">
        <f t="shared" si="6"/>
        <v>0.69799999999999995</v>
      </c>
      <c r="L243" s="3">
        <f t="shared" si="7"/>
        <v>0.30200000000000005</v>
      </c>
    </row>
    <row r="244" spans="1:12" x14ac:dyDescent="0.3">
      <c r="A244" s="1" t="s">
        <v>253</v>
      </c>
      <c r="B244" s="1" t="s">
        <v>503</v>
      </c>
      <c r="C244" s="1" t="s">
        <v>511</v>
      </c>
      <c r="D244" s="1">
        <v>90</v>
      </c>
      <c r="E244" s="1">
        <v>41</v>
      </c>
      <c r="F244" s="1">
        <v>62</v>
      </c>
      <c r="G244" s="1">
        <v>84</v>
      </c>
      <c r="H244" s="1">
        <v>24</v>
      </c>
      <c r="I244" s="1">
        <v>301</v>
      </c>
      <c r="J244" s="1">
        <v>500</v>
      </c>
      <c r="K244" s="3">
        <f t="shared" si="6"/>
        <v>0.60199999999999998</v>
      </c>
      <c r="L244" s="3">
        <f t="shared" si="7"/>
        <v>0.39800000000000002</v>
      </c>
    </row>
    <row r="245" spans="1:12" x14ac:dyDescent="0.3">
      <c r="A245" s="1" t="s">
        <v>254</v>
      </c>
      <c r="B245" s="1" t="s">
        <v>504</v>
      </c>
      <c r="C245" s="1" t="s">
        <v>515</v>
      </c>
      <c r="D245" s="1">
        <v>76</v>
      </c>
      <c r="E245" s="1">
        <v>10</v>
      </c>
      <c r="F245" s="1">
        <v>42</v>
      </c>
      <c r="G245" s="1">
        <v>39</v>
      </c>
      <c r="H245" s="1">
        <v>74</v>
      </c>
      <c r="I245" s="1">
        <v>241</v>
      </c>
      <c r="J245" s="1">
        <v>500</v>
      </c>
      <c r="K245" s="3">
        <f t="shared" si="6"/>
        <v>0.48199999999999998</v>
      </c>
      <c r="L245" s="3">
        <f t="shared" si="7"/>
        <v>0.51800000000000002</v>
      </c>
    </row>
    <row r="246" spans="1:12" x14ac:dyDescent="0.3">
      <c r="A246" s="1" t="s">
        <v>255</v>
      </c>
      <c r="B246" s="1" t="s">
        <v>505</v>
      </c>
      <c r="C246" s="1" t="s">
        <v>514</v>
      </c>
      <c r="D246" s="1">
        <v>65</v>
      </c>
      <c r="E246" s="1">
        <v>18</v>
      </c>
      <c r="F246" s="1">
        <v>22</v>
      </c>
      <c r="G246" s="1">
        <v>21</v>
      </c>
      <c r="H246" s="1">
        <v>69</v>
      </c>
      <c r="I246" s="1">
        <v>195</v>
      </c>
      <c r="J246" s="1">
        <v>500</v>
      </c>
      <c r="K246" s="3">
        <f t="shared" si="6"/>
        <v>0.39</v>
      </c>
      <c r="L246" s="3">
        <f t="shared" si="7"/>
        <v>0.61</v>
      </c>
    </row>
    <row r="247" spans="1:12" x14ac:dyDescent="0.3">
      <c r="A247" s="1" t="s">
        <v>256</v>
      </c>
      <c r="B247" s="1" t="s">
        <v>506</v>
      </c>
      <c r="C247" s="1" t="s">
        <v>516</v>
      </c>
      <c r="D247" s="1">
        <v>63</v>
      </c>
      <c r="E247" s="1">
        <v>72</v>
      </c>
      <c r="F247" s="1">
        <v>16</v>
      </c>
      <c r="G247" s="1">
        <v>45</v>
      </c>
      <c r="H247" s="1">
        <v>52</v>
      </c>
      <c r="I247" s="1">
        <v>248</v>
      </c>
      <c r="J247" s="1">
        <v>500</v>
      </c>
      <c r="K247" s="3">
        <f t="shared" si="6"/>
        <v>0.496</v>
      </c>
      <c r="L247" s="3">
        <f t="shared" si="7"/>
        <v>0.504</v>
      </c>
    </row>
    <row r="248" spans="1:12" x14ac:dyDescent="0.3">
      <c r="A248" s="1" t="s">
        <v>257</v>
      </c>
      <c r="B248" s="1" t="s">
        <v>507</v>
      </c>
      <c r="C248" s="1" t="s">
        <v>515</v>
      </c>
      <c r="D248" s="1">
        <v>36</v>
      </c>
      <c r="E248" s="1">
        <v>95</v>
      </c>
      <c r="F248" s="1">
        <v>48</v>
      </c>
      <c r="G248" s="1">
        <v>67</v>
      </c>
      <c r="H248" s="1">
        <v>12</v>
      </c>
      <c r="I248" s="1">
        <v>258</v>
      </c>
      <c r="J248" s="1">
        <v>500</v>
      </c>
      <c r="K248" s="3">
        <f t="shared" si="6"/>
        <v>0.51600000000000001</v>
      </c>
      <c r="L248" s="3">
        <f t="shared" si="7"/>
        <v>0.48399999999999999</v>
      </c>
    </row>
    <row r="249" spans="1:12" x14ac:dyDescent="0.3">
      <c r="A249" s="1" t="s">
        <v>258</v>
      </c>
      <c r="B249" s="1" t="s">
        <v>508</v>
      </c>
      <c r="C249" s="1" t="s">
        <v>513</v>
      </c>
      <c r="D249" s="1">
        <v>63</v>
      </c>
      <c r="E249" s="1">
        <v>100</v>
      </c>
      <c r="F249" s="1">
        <v>46</v>
      </c>
      <c r="G249" s="1">
        <v>82</v>
      </c>
      <c r="H249" s="1">
        <v>64</v>
      </c>
      <c r="I249" s="1">
        <v>355</v>
      </c>
      <c r="J249" s="1">
        <v>500</v>
      </c>
      <c r="K249" s="3">
        <f t="shared" si="6"/>
        <v>0.71</v>
      </c>
      <c r="L249" s="3">
        <f t="shared" si="7"/>
        <v>0.29000000000000004</v>
      </c>
    </row>
    <row r="250" spans="1:12" x14ac:dyDescent="0.3">
      <c r="A250" s="1" t="s">
        <v>259</v>
      </c>
      <c r="B250" s="1" t="s">
        <v>509</v>
      </c>
      <c r="C250" s="1" t="s">
        <v>511</v>
      </c>
      <c r="D250" s="1">
        <v>39</v>
      </c>
      <c r="E250" s="1">
        <v>54</v>
      </c>
      <c r="F250" s="1">
        <v>32</v>
      </c>
      <c r="G250" s="1">
        <v>40</v>
      </c>
      <c r="H250" s="1">
        <v>21</v>
      </c>
      <c r="I250" s="1">
        <v>186</v>
      </c>
      <c r="J250" s="1">
        <v>500</v>
      </c>
      <c r="K250" s="3">
        <f t="shared" si="6"/>
        <v>0.372</v>
      </c>
      <c r="L250" s="3">
        <f t="shared" si="7"/>
        <v>0.628</v>
      </c>
    </row>
    <row r="251" spans="1:12" x14ac:dyDescent="0.3">
      <c r="A251" s="1" t="s">
        <v>260</v>
      </c>
      <c r="B251" s="1" t="s">
        <v>510</v>
      </c>
      <c r="C251" s="1" t="s">
        <v>511</v>
      </c>
      <c r="D251" s="1">
        <v>89</v>
      </c>
      <c r="E251" s="1">
        <v>71</v>
      </c>
      <c r="F251" s="1">
        <v>27</v>
      </c>
      <c r="G251" s="1">
        <v>10</v>
      </c>
      <c r="H251" s="1">
        <v>10</v>
      </c>
      <c r="I251" s="1">
        <v>207</v>
      </c>
      <c r="J251" s="1">
        <v>500</v>
      </c>
      <c r="K251" s="3">
        <f t="shared" si="6"/>
        <v>0.41399999999999998</v>
      </c>
      <c r="L251" s="3">
        <f t="shared" si="7"/>
        <v>0.58600000000000008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Sales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Faiz Quraishi</dc:creator>
  <cp:lastModifiedBy>Faiz Quraishi</cp:lastModifiedBy>
  <dcterms:created xsi:type="dcterms:W3CDTF">2025-11-02T11:55:22Z</dcterms:created>
  <dcterms:modified xsi:type="dcterms:W3CDTF">2025-11-02T18:45:09Z</dcterms:modified>
</cp:coreProperties>
</file>